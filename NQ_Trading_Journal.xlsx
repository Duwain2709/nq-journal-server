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Trade Log" sheetId="1" state="visible" r:id="rId3"/>
    <sheet name="📊 Statistics" sheetId="2" state="visible" r:id="rId4"/>
    <sheet name="📅 Monthly Overview" sheetId="3" state="visible" r:id="rId5"/>
    <sheet name="📉 Drawdown &amp; Equity" sheetId="4" state="visible" r:id="rId6"/>
    <sheet name="ℹ️ Guid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<sst xmlns="http://schemas.openxmlformats.org/spreadsheetml/2006/main" count="138" uniqueCount="124">
  <si>
    <t xml:space="preserve">🚀  NQ FUTURES – TRADING JOURNAL</t>
  </si>
  <si>
    <t xml:space="preserve">Log your trades below — all statistics update automatically</t>
  </si>
  <si>
    <t xml:space="preserve">#</t>
  </si>
  <si>
    <t xml:space="preserve">Date</t>
  </si>
  <si>
    <t xml:space="preserve">Weekday</t>
  </si>
  <si>
    <t xml:space="preserve">Session</t>
  </si>
  <si>
    <t xml:space="preserve">Direction</t>
  </si>
  <si>
    <t xml:space="preserve">Entry</t>
  </si>
  <si>
    <t xml:space="preserve">Stop Loss</t>
  </si>
  <si>
    <t xml:space="preserve">Take Profit</t>
  </si>
  <si>
    <t xml:space="preserve">Exit</t>
  </si>
  <si>
    <t xml:space="preserve">Contracts</t>
  </si>
  <si>
    <t xml:space="preserve">Points (P/L)</t>
  </si>
  <si>
    <t xml:space="preserve">$ P/L</t>
  </si>
  <si>
    <t xml:space="preserve">R:R (Plan)</t>
  </si>
  <si>
    <t xml:space="preserve">R:R (Actual)</t>
  </si>
  <si>
    <t xml:space="preserve">Win/Loss</t>
  </si>
  <si>
    <t xml:space="preserve">Setup</t>
  </si>
  <si>
    <t xml:space="preserve">Notes</t>
  </si>
  <si>
    <t xml:space="preserve">Mistake?</t>
  </si>
  <si>
    <t xml:space="preserve">📊  PERFORMANCE STATISTICS – NQ FUTURES</t>
  </si>
  <si>
    <t xml:space="preserve">📈  GENERAL PERFORMANCE</t>
  </si>
  <si>
    <t xml:space="preserve">⚡  RISK &amp; REWARD</t>
  </si>
  <si>
    <t xml:space="preserve">Total Trades</t>
  </si>
  <si>
    <t xml:space="preserve">Avg R:R Plan</t>
  </si>
  <si>
    <t xml:space="preserve">Winners</t>
  </si>
  <si>
    <t xml:space="preserve">Avg R:R Actual (W)</t>
  </si>
  <si>
    <t xml:space="preserve">Losers</t>
  </si>
  <si>
    <t xml:space="preserve">Profit Factor</t>
  </si>
  <si>
    <t xml:space="preserve">Break Even</t>
  </si>
  <si>
    <t xml:space="preserve">Expectancy ($)</t>
  </si>
  <si>
    <t xml:space="preserve">Win Rate</t>
  </si>
  <si>
    <t xml:space="preserve">Max Drawdown ($)</t>
  </si>
  <si>
    <t xml:space="preserve">Loss Rate</t>
  </si>
  <si>
    <t xml:space="preserve">Avg Points Win</t>
  </si>
  <si>
    <t xml:space="preserve">Net P/L</t>
  </si>
  <si>
    <t xml:space="preserve">Avg Points Loss</t>
  </si>
  <si>
    <t xml:space="preserve">Avg Win / Trade</t>
  </si>
  <si>
    <t xml:space="preserve">Avg Loss / Trade</t>
  </si>
  <si>
    <t xml:space="preserve">Best Trade</t>
  </si>
  <si>
    <t xml:space="preserve">Worst Trade</t>
  </si>
  <si>
    <t xml:space="preserve">📅  DAY OF WEEK ANALYSIS</t>
  </si>
  <si>
    <t xml:space="preserve">Day</t>
  </si>
  <si>
    <t xml:space="preserve">Trades</t>
  </si>
  <si>
    <t xml:space="preserve">Wins</t>
  </si>
  <si>
    <t xml:space="preserve">Losses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</si>
  <si>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</si>
  <si>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</si>
  <si>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</si>
  <si>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</si>
  <si>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</si>
  <si>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🕐  SESSION ANALYSIS</t>
  </si>
  <si>
    <t xml:space="preserve">Avg P/L</t>
  </si>
  <si>
    <t xml:space="preserve">Asia</t>
  </si>
  <si>
    <t xml:space="preserve">London</t>
  </si>
  <si>
    <t xml:space="preserve">NY Open</t>
  </si>
  <si>
    <t xml:space="preserve">New York</t>
  </si>
  <si>
    <t xml:space="preserve">📅  MONTHLY PERFORMANCE – NQ FUTURES</t>
  </si>
  <si>
    <t xml:space="preserve">Month</t>
  </si>
  <si>
    <t xml:space="preserve">Cum. P/L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</si>
  <si>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</si>
  <si>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</si>
  <si>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</si>
  <si>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</si>
  <si>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</si>
  <si>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</si>
  <si>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</si>
  <si>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</si>
  <si>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</si>
  <si>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</si>
  <si>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</si>
  <si>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</si>
  <si>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TOTAL</t>
  </si>
  <si>
    <t xml:space="preserve">📉  EQUITY CURVE &amp; DRAWDOWN TRACKER</t>
  </si>
  <si>
    <t xml:space="preserve">⚙️  Enter your starting capital in cell B3 — everything updates automatically</t>
  </si>
  <si>
    <t xml:space="preserve">Starting Capital ($)</t>
  </si>
  <si>
    <t xml:space="preserve">Trade #</t>
  </si>
  <si>
    <t xml:space="preserve">P/L ($)</t>
  </si>
  <si>
    <t xml:space="preserve">Cum. P/L ($)</t>
  </si>
  <si>
    <t xml:space="preserve">Capital ($)</t>
  </si>
  <si>
    <t xml:space="preserve">Drawdown ($)</t>
  </si>
  <si>
    <t xml:space="preserve">DD %</t>
  </si>
  <si>
    <t xml:space="preserve">ℹ️  HOW TO USE – NQ TRADING JOURNAL</t>
  </si>
  <si>
    <t xml:space="preserve">📋 Trade Log – Required Fields</t>
  </si>
  <si>
    <t xml:space="preserve">  Date</t>
  </si>
  <si>
    <t xml:space="preserve">Trade date (MM/DD/YYYY)</t>
  </si>
  <si>
    <t xml:space="preserve">  Session</t>
  </si>
  <si>
    <t xml:space="preserve">Asia / London / NY Open / New York</t>
  </si>
  <si>
    <t xml:space="preserve">  Direction</t>
  </si>
  <si>
    <t xml:space="preserve">Long  or  Short  (exactly as shown)</t>
  </si>
  <si>
    <t xml:space="preserve">  Entry</t>
  </si>
  <si>
    <t xml:space="preserve">Entry price in points (e.g. 21250.50)</t>
  </si>
  <si>
    <t xml:space="preserve">  Stop Loss</t>
  </si>
  <si>
    <t xml:space="preserve">Stop loss price in points</t>
  </si>
  <si>
    <t xml:space="preserve">  Take Profit</t>
  </si>
  <si>
    <t xml:space="preserve">Target price in points</t>
  </si>
  <si>
    <t xml:space="preserve">  Exit</t>
  </si>
  <si>
    <t xml:space="preserve">Actual exit price</t>
  </si>
  <si>
    <t xml:space="preserve">  Contracts</t>
  </si>
  <si>
    <t xml:space="preserve">Number of contracts traded</t>
  </si>
  <si>
    <t xml:space="preserve">  Setup</t>
  </si>
  <si>
    <t xml:space="preserve">Your setup name (e.g. ICT, Breakout, VWAP)</t>
  </si>
  <si>
    <t xml:space="preserve">📊 Auto-Calculated – Do NOT type these!</t>
  </si>
  <si>
    <t xml:space="preserve">  Weekday</t>
  </si>
  <si>
    <t xml:space="preserve">Derived from Date automatically</t>
  </si>
  <si>
    <t xml:space="preserve">  Points P/L</t>
  </si>
  <si>
    <t xml:space="preserve">(Exit – Entry) × 20 (NQ multiplier)</t>
  </si>
  <si>
    <t xml:space="preserve">  $ P/L</t>
  </si>
  <si>
    <t xml:space="preserve">Points × Contracts</t>
  </si>
  <si>
    <t xml:space="preserve">  R:R Plan</t>
  </si>
  <si>
    <t xml:space="preserve">(TP – Entry) / (Entry – SL)</t>
  </si>
  <si>
    <t xml:space="preserve">  R:R Actual</t>
  </si>
  <si>
    <t xml:space="preserve">(Exit – Entry) / (Entry – SL)</t>
  </si>
  <si>
    <t xml:space="preserve">  Win/Loss</t>
  </si>
  <si>
    <t xml:space="preserve">Auto: Win / Loss / Break Even</t>
  </si>
  <si>
    <t xml:space="preserve">💡 Key Facts</t>
  </si>
  <si>
    <t xml:space="preserve">  NQ Point Value</t>
  </si>
  <si>
    <t xml:space="preserve">1 point NQ = $20 per contract</t>
  </si>
  <si>
    <t xml:space="preserve">  Session Times</t>
  </si>
  <si>
    <t xml:space="preserve">Asia 01-08h, London 08-14h, NY Open 14-16h, NY 16-21h (UTC)</t>
  </si>
  <si>
    <t xml:space="preserve">  Mistake? Column</t>
  </si>
  <si>
    <t xml:space="preserve">Y (Yes) / N (No) – for personal mistake analysis</t>
  </si>
  <si>
    <t xml:space="preserve">  Starting Capital</t>
  </si>
  <si>
    <t xml:space="preserve">Sheet 'Drawdown &amp; Equity' → Cell B3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</si>
</sst>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/dd/yyyy"/>
    <numFmt numFmtId="166" formatCode="0.0"/>
    <numFmt numFmtId="167" formatCode="#,##0.00&quot; $&quot;"/>
    <numFmt numFmtId="168" formatCode="0.00\x"/>
    <numFmt numFmtId="169" formatCode="0"/>
    <numFmt numFmtId="170" formatCode="0.0%"/>
    <numFmt numFmtId="171" formatCode="#,##0&quot; $&quot;"/>
    <numFmt numFmtId="172" formatCode="0.0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58A6FF"/>
      <name val="Arial"/>
      <family val="0"/>
      <charset val="1"/>
    </font>
    <font>
      <i val="true"/>
      <sz val="9"/>
      <color rgb="FF8B949E"/>
      <name val="Arial"/>
      <family val="0"/>
      <charset val="1"/>
    </font>
    <font>
      <b val="true"/>
      <sz val="9"/>
      <color rgb="FFE6EDF3"/>
      <name val="Arial"/>
      <family val="0"/>
      <charset val="1"/>
    </font>
    <font>
      <sz val="9"/>
      <color rgb="FFE6EDF3"/>
      <name val="Arial"/>
      <family val="0"/>
      <charset val="1"/>
    </font>
    <font>
      <b val="true"/>
      <sz val="16"/>
      <color rgb="FF58A6FF"/>
      <name val="Arial"/>
      <family val="0"/>
      <charset val="1"/>
    </font>
    <font>
      <b val="true"/>
      <sz val="11"/>
      <color rgb="FFE6EDF3"/>
      <name val="Arial"/>
      <family val="0"/>
      <charset val="1"/>
    </font>
    <font>
      <sz val="9"/>
      <color rgb="FF8B949E"/>
      <name val="Arial"/>
      <family val="0"/>
      <charset val="1"/>
    </font>
    <font>
      <b val="true"/>
      <sz val="10"/>
      <color rgb="FFE6EDF3"/>
      <name val="Arial"/>
      <family val="0"/>
      <charset val="1"/>
    </font>
    <font>
      <i val="true"/>
      <sz val="9"/>
      <color rgb="FFD29922"/>
      <name val="Arial"/>
      <family val="0"/>
      <charset val="1"/>
    </font>
    <font>
      <b val="true"/>
      <sz val="12"/>
      <color rgb="FFFFD700"/>
      <name val="Arial"/>
      <family val="0"/>
      <charset val="1"/>
    </font>
    <font>
      <b val="true"/>
      <sz val="9"/>
      <color rgb="FF58A6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D1117"/>
        <bgColor rgb="FF161B22"/>
      </patternFill>
    </fill>
    <fill>
      <patternFill patternType="solid">
        <fgColor rgb="FF1F6FEB"/>
        <bgColor rgb="FF0066CC"/>
      </patternFill>
    </fill>
    <fill>
      <patternFill patternType="solid">
        <fgColor rgb="FF161B22"/>
        <bgColor rgb="FF0D1117"/>
      </patternFill>
    </fill>
    <fill>
      <patternFill patternType="solid">
        <fgColor rgb="FF21262D"/>
        <bgColor rgb="FF161B22"/>
      </patternFill>
    </fill>
    <fill>
      <patternFill patternType="solid">
        <fgColor rgb="FF2D333B"/>
        <bgColor rgb="FF30363D"/>
      </patternFill>
    </fill>
    <fill>
      <patternFill patternType="solid">
        <fgColor rgb="FF2D2600"/>
        <bgColor rgb="FF21262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  <border diagonalUp="false" diagonalDown="false">
      <left style="thin">
        <color rgb="FF30363D"/>
      </left>
      <right/>
      <top style="thin">
        <color rgb="FF30363D"/>
      </top>
      <bottom style="thin">
        <color rgb="FF30363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3FB950"/>
      </font>
      <fill>
        <patternFill>
          <bgColor rgb="FF0D2B17"/>
        </patternFill>
      </fill>
    </dxf>
    <dxf>
      <font>
        <b val="1"/>
        <color rgb="FFF85149"/>
      </font>
      <fill>
        <patternFill>
          <bgColor rgb="FF2D0E0E"/>
        </patternFill>
      </fill>
    </dxf>
    <dxf>
      <font>
        <b val="1"/>
        <color rgb="FF3FB950"/>
      </font>
    </dxf>
    <dxf>
      <font>
        <b val="1"/>
        <color rgb="FFF85149"/>
      </font>
    </dxf>
  </dxfs>
  <colors>
    <indexedColors>
      <rgbColor rgb="FF000000"/>
      <rgbColor rgb="FFE6ED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D1117"/>
      <rgbColor rgb="FF808000"/>
      <rgbColor rgb="FF800080"/>
      <rgbColor rgb="FF008080"/>
      <rgbColor rgb="FFC0C0C0"/>
      <rgbColor rgb="FF808080"/>
      <rgbColor rgb="FF58A6FF"/>
      <rgbColor rgb="FF993366"/>
      <rgbColor rgb="FFFFFFCC"/>
      <rgbColor rgb="FFCCFFFF"/>
      <rgbColor rgb="FF2D0E0E"/>
      <rgbColor rgb="FFFF8080"/>
      <rgbColor rgb="FF0066CC"/>
      <rgbColor rgb="FFCCCCFF"/>
      <rgbColor rgb="FF161B22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D700"/>
      <rgbColor rgb="FFD29922"/>
      <rgbColor rgb="FFF85149"/>
      <rgbColor rgb="FF666699"/>
      <rgbColor rgb="FF8B949E"/>
      <rgbColor rgb="FF21262D"/>
      <rgbColor rgb="FF3FB950"/>
      <rgbColor rgb="FF0D2B17"/>
      <rgbColor rgb="FF2D2600"/>
      <rgbColor rgb="FF993300"/>
      <rgbColor rgb="FF993366"/>
      <rgbColor rgb="FF30363D"/>
      <rgbColor rgb="FF2D33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4" min="2" style="0" width="12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2" min="11" style="0" width="11"/>
    <col collapsed="false" customWidth="true" hidden="false" outlineLevel="0" max="15" min="13" style="0" width="10"/>
    <col collapsed="false" customWidth="true" hidden="false" outlineLevel="0" max="16" min="16" style="0" width="14"/>
    <col collapsed="false" customWidth="true" hidden="false" outlineLevel="0" max="17" min="17" style="0" width="22"/>
    <col collapsed="false" customWidth="true" hidden="false" outlineLevel="0" max="18" min="18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</row>
    <row r="4" customFormat="false" ht="15" hidden="false" customHeight="false" outlineLevel="0" collapsed="false">
      <c r="A4" s="4" t="str">
        <f aca="false">IF(B4&lt;&gt;"",ROW()-3,"")</f>
        <v/>
      </c>
      <c r="B4" s="5"/>
      <c r="C4" s="4" t="str">
        <f aca="false">IF(B4&lt;&gt;"",TEXT(B4,"DDDD"),"")</f>
        <v/>
      </c>
      <c r="D4" s="4"/>
      <c r="E4" s="4"/>
      <c r="F4" s="4"/>
      <c r="G4" s="4"/>
      <c r="H4" s="4"/>
      <c r="I4" s="4"/>
      <c r="J4" s="4"/>
      <c r="K4" s="6" t="str">
        <f aca="false">IF(AND(B4&lt;&gt;"",I4&lt;&gt;"",F4&lt;&gt;""),IF(E4="Long",(I4-F4)*20,(F4-I4)*20),"")</f>
        <v/>
      </c>
      <c r="L4" s="7" t="str">
        <f aca="false">IF(AND(K4&lt;&gt;"",J4&lt;&gt;""),K4*J4,"")</f>
        <v/>
      </c>
      <c r="M4" s="8" t="str">
        <f aca="false">IF(AND(F4&lt;&gt;"",G4&lt;&gt;"",H4&lt;&gt;""),IF(E4="Long",(H4-F4)/(F4-G4),(F4-H4)/(G4-F4)),"")</f>
        <v/>
      </c>
      <c r="N4" s="8" t="str">
        <f aca="false">IF(AND(F4&lt;&gt;"",G4&lt;&gt;"",I4&lt;&gt;""),IF(E4="Long",(I4-F4)/(F4-G4),(F4-I4)/(G4-F4)),"")</f>
        <v/>
      </c>
      <c r="O4" s="4" t="str">
        <f aca="false">IF(L4="","",IF(L4&gt;0,"Win",IF(L4&lt;0,"Loss","Break Even")))</f>
        <v/>
      </c>
      <c r="P4" s="4"/>
      <c r="Q4" s="4"/>
      <c r="R4" s="4"/>
    </row>
    <row r="5" customFormat="false" ht="15" hidden="false" customHeight="false" outlineLevel="0" collapsed="false">
      <c r="A5" s="9" t="str">
        <f aca="false">IF(B5&lt;&gt;"",ROW()-3,"")</f>
        <v/>
      </c>
      <c r="B5" s="10"/>
      <c r="C5" s="9" t="str">
        <f aca="false">IF(B5&lt;&gt;"",TEXT(B5,"DDDD"),"")</f>
        <v/>
      </c>
      <c r="D5" s="9"/>
      <c r="E5" s="9"/>
      <c r="F5" s="9"/>
      <c r="G5" s="9"/>
      <c r="H5" s="9"/>
      <c r="I5" s="9"/>
      <c r="J5" s="9"/>
      <c r="K5" s="11" t="str">
        <f aca="false">IF(AND(B5&lt;&gt;"",I5&lt;&gt;"",F5&lt;&gt;""),IF(E5="Long",(I5-F5)*20,(F5-I5)*20),"")</f>
        <v/>
      </c>
      <c r="L5" s="12" t="str">
        <f aca="false">IF(AND(K5&lt;&gt;"",J5&lt;&gt;""),K5*J5,"")</f>
        <v/>
      </c>
      <c r="M5" s="13" t="str">
        <f aca="false">IF(AND(F5&lt;&gt;"",G5&lt;&gt;"",H5&lt;&gt;""),IF(E5="Long",(H5-F5)/(F5-G5),(F5-H5)/(G5-F5)),"")</f>
        <v/>
      </c>
      <c r="N5" s="13" t="str">
        <f aca="false">IF(AND(F5&lt;&gt;"",G5&lt;&gt;"",I5&lt;&gt;""),IF(E5="Long",(I5-F5)/(F5-G5),(F5-I5)/(G5-F5)),"")</f>
        <v/>
      </c>
      <c r="O5" s="9" t="str">
        <f aca="false">IF(L5="","",IF(L5&gt;0,"Win",IF(L5&lt;0,"Loss","Break Even")))</f>
        <v/>
      </c>
      <c r="P5" s="9"/>
      <c r="Q5" s="9"/>
      <c r="R5" s="9"/>
    </row>
    <row r="6" customFormat="false" ht="15" hidden="false" customHeight="false" outlineLevel="0" collapsed="false">
      <c r="A6" s="4" t="str">
        <f aca="false">IF(B6&lt;&gt;"",ROW()-3,"")</f>
        <v/>
      </c>
      <c r="B6" s="5"/>
      <c r="C6" s="4" t="str">
        <f aca="false">IF(B6&lt;&gt;"",TEXT(B6,"DDDD"),"")</f>
        <v/>
      </c>
      <c r="D6" s="4"/>
      <c r="E6" s="4"/>
      <c r="F6" s="4"/>
      <c r="G6" s="4"/>
      <c r="H6" s="4"/>
      <c r="I6" s="4"/>
      <c r="J6" s="4"/>
      <c r="K6" s="6" t="str">
        <f aca="false">IF(AND(B6&lt;&gt;"",I6&lt;&gt;"",F6&lt;&gt;""),IF(E6="Long",(I6-F6)*20,(F6-I6)*20),"")</f>
        <v/>
      </c>
      <c r="L6" s="7" t="str">
        <f aca="false">IF(AND(K6&lt;&gt;"",J6&lt;&gt;""),K6*J6,"")</f>
        <v/>
      </c>
      <c r="M6" s="8" t="str">
        <f aca="false">IF(AND(F6&lt;&gt;"",G6&lt;&gt;"",H6&lt;&gt;""),IF(E6="Long",(H6-F6)/(F6-G6),(F6-H6)/(G6-F6)),"")</f>
        <v/>
      </c>
      <c r="N6" s="8" t="str">
        <f aca="false">IF(AND(F6&lt;&gt;"",G6&lt;&gt;"",I6&lt;&gt;""),IF(E6="Long",(I6-F6)/(F6-G6),(F6-I6)/(G6-F6)),"")</f>
        <v/>
      </c>
      <c r="O6" s="4" t="str">
        <f aca="false">IF(L6="","",IF(L6&gt;0,"Win",IF(L6&lt;0,"Loss","Break Even")))</f>
        <v/>
      </c>
      <c r="P6" s="4"/>
      <c r="Q6" s="4"/>
      <c r="R6" s="4"/>
    </row>
    <row r="7" customFormat="false" ht="15" hidden="false" customHeight="false" outlineLevel="0" collapsed="false">
      <c r="A7" s="9" t="str">
        <f aca="false">IF(B7&lt;&gt;"",ROW()-3,"")</f>
        <v/>
      </c>
      <c r="B7" s="10"/>
      <c r="C7" s="9" t="str">
        <f aca="false">IF(B7&lt;&gt;"",TEXT(B7,"DDDD"),"")</f>
        <v/>
      </c>
      <c r="D7" s="9"/>
      <c r="E7" s="9"/>
      <c r="F7" s="9"/>
      <c r="G7" s="9"/>
      <c r="H7" s="9"/>
      <c r="I7" s="9"/>
      <c r="J7" s="9"/>
      <c r="K7" s="11" t="str">
        <f aca="false">IF(AND(B7&lt;&gt;"",I7&lt;&gt;"",F7&lt;&gt;""),IF(E7="Long",(I7-F7)*20,(F7-I7)*20),"")</f>
        <v/>
      </c>
      <c r="L7" s="12" t="str">
        <f aca="false">IF(AND(K7&lt;&gt;"",J7&lt;&gt;""),K7*J7,"")</f>
        <v/>
      </c>
      <c r="M7" s="13" t="str">
        <f aca="false">IF(AND(F7&lt;&gt;"",G7&lt;&gt;"",H7&lt;&gt;""),IF(E7="Long",(H7-F7)/(F7-G7),(F7-H7)/(G7-F7)),"")</f>
        <v/>
      </c>
      <c r="N7" s="13" t="str">
        <f aca="false">IF(AND(F7&lt;&gt;"",G7&lt;&gt;"",I7&lt;&gt;""),IF(E7="Long",(I7-F7)/(F7-G7),(F7-I7)/(G7-F7)),"")</f>
        <v/>
      </c>
      <c r="O7" s="9" t="str">
        <f aca="false">IF(L7="","",IF(L7&gt;0,"Win",IF(L7&lt;0,"Loss","Break Even")))</f>
        <v/>
      </c>
      <c r="P7" s="9"/>
      <c r="Q7" s="9"/>
      <c r="R7" s="9"/>
    </row>
    <row r="8" customFormat="false" ht="15" hidden="false" customHeight="false" outlineLevel="0" collapsed="false">
      <c r="A8" s="4" t="str">
        <f aca="false">IF(B8&lt;&gt;"",ROW()-3,"")</f>
        <v/>
      </c>
      <c r="B8" s="5"/>
      <c r="C8" s="4" t="str">
        <f aca="false">IF(B8&lt;&gt;"",TEXT(B8,"DDDD"),"")</f>
        <v/>
      </c>
      <c r="D8" s="4"/>
      <c r="E8" s="4"/>
      <c r="F8" s="4"/>
      <c r="G8" s="4"/>
      <c r="H8" s="4"/>
      <c r="I8" s="4"/>
      <c r="J8" s="4"/>
      <c r="K8" s="6" t="str">
        <f aca="false">IF(AND(B8&lt;&gt;"",I8&lt;&gt;"",F8&lt;&gt;""),IF(E8="Long",(I8-F8)*20,(F8-I8)*20),"")</f>
        <v/>
      </c>
      <c r="L8" s="7" t="str">
        <f aca="false">IF(AND(K8&lt;&gt;"",J8&lt;&gt;""),K8*J8,"")</f>
        <v/>
      </c>
      <c r="M8" s="8" t="str">
        <f aca="false">IF(AND(F8&lt;&gt;"",G8&lt;&gt;"",H8&lt;&gt;""),IF(E8="Long",(H8-F8)/(F8-G8),(F8-H8)/(G8-F8)),"")</f>
        <v/>
      </c>
      <c r="N8" s="8" t="str">
        <f aca="false">IF(AND(F8&lt;&gt;"",G8&lt;&gt;"",I8&lt;&gt;""),IF(E8="Long",(I8-F8)/(F8-G8),(F8-I8)/(G8-F8)),"")</f>
        <v/>
      </c>
      <c r="O8" s="4" t="str">
        <f aca="false">IF(L8="","",IF(L8&gt;0,"Win",IF(L8&lt;0,"Loss","Break Even")))</f>
        <v/>
      </c>
      <c r="P8" s="4"/>
      <c r="Q8" s="4"/>
      <c r="R8" s="4"/>
    </row>
    <row r="9" customFormat="false" ht="15" hidden="false" customHeight="false" outlineLevel="0" collapsed="false">
      <c r="A9" s="9" t="str">
        <f aca="false">IF(B9&lt;&gt;"",ROW()-3,"")</f>
        <v/>
      </c>
      <c r="B9" s="10"/>
      <c r="C9" s="9" t="str">
        <f aca="false">IF(B9&lt;&gt;"",TEXT(B9,"DDDD"),"")</f>
        <v/>
      </c>
      <c r="D9" s="9"/>
      <c r="E9" s="9"/>
      <c r="F9" s="9"/>
      <c r="G9" s="9"/>
      <c r="H9" s="9"/>
      <c r="I9" s="9"/>
      <c r="J9" s="9"/>
      <c r="K9" s="11" t="str">
        <f aca="false">IF(AND(B9&lt;&gt;"",I9&lt;&gt;"",F9&lt;&gt;""),IF(E9="Long",(I9-F9)*20,(F9-I9)*20),"")</f>
        <v/>
      </c>
      <c r="L9" s="12" t="str">
        <f aca="false">IF(AND(K9&lt;&gt;"",J9&lt;&gt;""),K9*J9,"")</f>
        <v/>
      </c>
      <c r="M9" s="13" t="str">
        <f aca="false">IF(AND(F9&lt;&gt;"",G9&lt;&gt;"",H9&lt;&gt;""),IF(E9="Long",(H9-F9)/(F9-G9),(F9-H9)/(G9-F9)),"")</f>
        <v/>
      </c>
      <c r="N9" s="13" t="str">
        <f aca="false">IF(AND(F9&lt;&gt;"",G9&lt;&gt;"",I9&lt;&gt;""),IF(E9="Long",(I9-F9)/(F9-G9),(F9-I9)/(G9-F9)),"")</f>
        <v/>
      </c>
      <c r="O9" s="9" t="str">
        <f aca="false">IF(L9="","",IF(L9&gt;0,"Win",IF(L9&lt;0,"Loss","Break Even")))</f>
        <v/>
      </c>
      <c r="P9" s="9"/>
      <c r="Q9" s="9"/>
      <c r="R9" s="9"/>
    </row>
    <row r="10" customFormat="false" ht="15" hidden="false" customHeight="false" outlineLevel="0" collapsed="false">
      <c r="A10" s="4" t="str">
        <f aca="false">IF(B10&lt;&gt;"",ROW()-3,"")</f>
        <v/>
      </c>
      <c r="B10" s="5"/>
      <c r="C10" s="4" t="str">
        <f aca="false">IF(B10&lt;&gt;"",TEXT(B10,"DDDD"),"")</f>
        <v/>
      </c>
      <c r="D10" s="4"/>
      <c r="E10" s="4"/>
      <c r="F10" s="4"/>
      <c r="G10" s="4"/>
      <c r="H10" s="4"/>
      <c r="I10" s="4"/>
      <c r="J10" s="4"/>
      <c r="K10" s="6" t="str">
        <f aca="false">IF(AND(B10&lt;&gt;"",I10&lt;&gt;"",F10&lt;&gt;""),IF(E10="Long",(I10-F10)*20,(F10-I10)*20),"")</f>
        <v/>
      </c>
      <c r="L10" s="7" t="str">
        <f aca="false">IF(AND(K10&lt;&gt;"",J10&lt;&gt;""),K10*J10,"")</f>
        <v/>
      </c>
      <c r="M10" s="8" t="str">
        <f aca="false">IF(AND(F10&lt;&gt;"",G10&lt;&gt;"",H10&lt;&gt;""),IF(E10="Long",(H10-F10)/(F10-G10),(F10-H10)/(G10-F10)),"")</f>
        <v/>
      </c>
      <c r="N10" s="8" t="str">
        <f aca="false">IF(AND(F10&lt;&gt;"",G10&lt;&gt;"",I10&lt;&gt;""),IF(E10="Long",(I10-F10)/(F10-G10),(F10-I10)/(G10-F10)),"")</f>
        <v/>
      </c>
      <c r="O10" s="4" t="str">
        <f aca="false">IF(L10="","",IF(L10&gt;0,"Win",IF(L10&lt;0,"Loss","Break Even")))</f>
        <v/>
      </c>
      <c r="P10" s="4"/>
      <c r="Q10" s="4"/>
      <c r="R10" s="4"/>
    </row>
    <row r="11" customFormat="false" ht="15" hidden="false" customHeight="false" outlineLevel="0" collapsed="false">
      <c r="A11" s="9" t="str">
        <f aca="false">IF(B11&lt;&gt;"",ROW()-3,"")</f>
        <v/>
      </c>
      <c r="B11" s="10"/>
      <c r="C11" s="9" t="str">
        <f aca="false">IF(B11&lt;&gt;"",TEXT(B11,"DDDD"),"")</f>
        <v/>
      </c>
      <c r="D11" s="9"/>
      <c r="E11" s="9"/>
      <c r="F11" s="9"/>
      <c r="G11" s="9"/>
      <c r="H11" s="9"/>
      <c r="I11" s="9"/>
      <c r="J11" s="9"/>
      <c r="K11" s="11" t="str">
        <f aca="false">IF(AND(B11&lt;&gt;"",I11&lt;&gt;"",F11&lt;&gt;""),IF(E11="Long",(I11-F11)*20,(F11-I11)*20),"")</f>
        <v/>
      </c>
      <c r="L11" s="12" t="str">
        <f aca="false">IF(AND(K11&lt;&gt;"",J11&lt;&gt;""),K11*J11,"")</f>
        <v/>
      </c>
      <c r="M11" s="13" t="str">
        <f aca="false">IF(AND(F11&lt;&gt;"",G11&lt;&gt;"",H11&lt;&gt;""),IF(E11="Long",(H11-F11)/(F11-G11),(F11-H11)/(G11-F11)),"")</f>
        <v/>
      </c>
      <c r="N11" s="13" t="str">
        <f aca="false">IF(AND(F11&lt;&gt;"",G11&lt;&gt;"",I11&lt;&gt;""),IF(E11="Long",(I11-F11)/(F11-G11),(F11-I11)/(G11-F11)),"")</f>
        <v/>
      </c>
      <c r="O11" s="9" t="str">
        <f aca="false">IF(L11="","",IF(L11&gt;0,"Win",IF(L11&lt;0,"Loss","Break Even")))</f>
        <v/>
      </c>
      <c r="P11" s="9"/>
      <c r="Q11" s="9"/>
      <c r="R11" s="9"/>
    </row>
    <row r="12" customFormat="false" ht="15" hidden="false" customHeight="false" outlineLevel="0" collapsed="false">
      <c r="A12" s="4" t="str">
        <f aca="false">IF(B12&lt;&gt;"",ROW()-3,"")</f>
        <v/>
      </c>
      <c r="B12" s="5"/>
      <c r="C12" s="4" t="str">
        <f aca="false">IF(B12&lt;&gt;"",TEXT(B12,"DDDD"),"")</f>
        <v/>
      </c>
      <c r="D12" s="4"/>
      <c r="E12" s="4"/>
      <c r="F12" s="4"/>
      <c r="G12" s="4"/>
      <c r="H12" s="4"/>
      <c r="I12" s="4"/>
      <c r="J12" s="4"/>
      <c r="K12" s="6" t="str">
        <f aca="false">IF(AND(B12&lt;&gt;"",I12&lt;&gt;"",F12&lt;&gt;""),IF(E12="Long",(I12-F12)*20,(F12-I12)*20),"")</f>
        <v/>
      </c>
      <c r="L12" s="7" t="str">
        <f aca="false">IF(AND(K12&lt;&gt;"",J12&lt;&gt;""),K12*J12,"")</f>
        <v/>
      </c>
      <c r="M12" s="8" t="str">
        <f aca="false">IF(AND(F12&lt;&gt;"",G12&lt;&gt;"",H12&lt;&gt;""),IF(E12="Long",(H12-F12)/(F12-G12),(F12-H12)/(G12-F12)),"")</f>
        <v/>
      </c>
      <c r="N12" s="8" t="str">
        <f aca="false">IF(AND(F12&lt;&gt;"",G12&lt;&gt;"",I12&lt;&gt;""),IF(E12="Long",(I12-F12)/(F12-G12),(F12-I12)/(G12-F12)),"")</f>
        <v/>
      </c>
      <c r="O12" s="4" t="str">
        <f aca="false">IF(L12="","",IF(L12&gt;0,"Win",IF(L12&lt;0,"Loss","Break Even")))</f>
        <v/>
      </c>
      <c r="P12" s="4"/>
      <c r="Q12" s="4"/>
      <c r="R12" s="4"/>
    </row>
    <row r="13" customFormat="false" ht="15" hidden="false" customHeight="false" outlineLevel="0" collapsed="false">
      <c r="A13" s="9" t="str">
        <f aca="false">IF(B13&lt;&gt;"",ROW()-3,"")</f>
        <v/>
      </c>
      <c r="B13" s="10"/>
      <c r="C13" s="9" t="str">
        <f aca="false">IF(B13&lt;&gt;"",TEXT(B13,"DDDD"),"")</f>
        <v/>
      </c>
      <c r="D13" s="9"/>
      <c r="E13" s="9"/>
      <c r="F13" s="9"/>
      <c r="G13" s="9"/>
      <c r="H13" s="9"/>
      <c r="I13" s="9"/>
      <c r="J13" s="9"/>
      <c r="K13" s="11" t="str">
        <f aca="false">IF(AND(B13&lt;&gt;"",I13&lt;&gt;"",F13&lt;&gt;""),IF(E13="Long",(I13-F13)*20,(F13-I13)*20),"")</f>
        <v/>
      </c>
      <c r="L13" s="12" t="str">
        <f aca="false">IF(AND(K13&lt;&gt;"",J13&lt;&gt;""),K13*J13,"")</f>
        <v/>
      </c>
      <c r="M13" s="13" t="str">
        <f aca="false">IF(AND(F13&lt;&gt;"",G13&lt;&gt;"",H13&lt;&gt;""),IF(E13="Long",(H13-F13)/(F13-G13),(F13-H13)/(G13-F13)),"")</f>
        <v/>
      </c>
      <c r="N13" s="13" t="str">
        <f aca="false">IF(AND(F13&lt;&gt;"",G13&lt;&gt;"",I13&lt;&gt;""),IF(E13="Long",(I13-F13)/(F13-G13),(F13-I13)/(G13-F13)),"")</f>
        <v/>
      </c>
      <c r="O13" s="9" t="str">
        <f aca="false">IF(L13="","",IF(L13&gt;0,"Win",IF(L13&lt;0,"Loss","Break Even")))</f>
        <v/>
      </c>
      <c r="P13" s="9"/>
      <c r="Q13" s="9"/>
      <c r="R13" s="9"/>
    </row>
    <row r="14" customFormat="false" ht="15" hidden="false" customHeight="false" outlineLevel="0" collapsed="false">
      <c r="A14" s="4" t="str">
        <f aca="false">IF(B14&lt;&gt;"",ROW()-3,"")</f>
        <v/>
      </c>
      <c r="B14" s="5"/>
      <c r="C14" s="4" t="str">
        <f aca="false">IF(B14&lt;&gt;"",TEXT(B14,"DDDD"),"")</f>
        <v/>
      </c>
      <c r="D14" s="4"/>
      <c r="E14" s="4"/>
      <c r="F14" s="4"/>
      <c r="G14" s="4"/>
      <c r="H14" s="4"/>
      <c r="I14" s="4"/>
      <c r="J14" s="4"/>
      <c r="K14" s="6" t="str">
        <f aca="false">IF(AND(B14&lt;&gt;"",I14&lt;&gt;"",F14&lt;&gt;""),IF(E14="Long",(I14-F14)*20,(F14-I14)*20),"")</f>
        <v/>
      </c>
      <c r="L14" s="7" t="str">
        <f aca="false">IF(AND(K14&lt;&gt;"",J14&lt;&gt;""),K14*J14,"")</f>
        <v/>
      </c>
      <c r="M14" s="8" t="str">
        <f aca="false">IF(AND(F14&lt;&gt;"",G14&lt;&gt;"",H14&lt;&gt;""),IF(E14="Long",(H14-F14)/(F14-G14),(F14-H14)/(G14-F14)),"")</f>
        <v/>
      </c>
      <c r="N14" s="8" t="str">
        <f aca="false">IF(AND(F14&lt;&gt;"",G14&lt;&gt;"",I14&lt;&gt;""),IF(E14="Long",(I14-F14)/(F14-G14),(F14-I14)/(G14-F14)),"")</f>
        <v/>
      </c>
      <c r="O14" s="4" t="str">
        <f aca="false">IF(L14="","",IF(L14&gt;0,"Win",IF(L14&lt;0,"Loss","Break Even")))</f>
        <v/>
      </c>
      <c r="P14" s="4"/>
      <c r="Q14" s="4"/>
      <c r="R14" s="4"/>
    </row>
    <row r="15" customFormat="false" ht="15" hidden="false" customHeight="false" outlineLevel="0" collapsed="false">
      <c r="A15" s="9" t="str">
        <f aca="false">IF(B15&lt;&gt;"",ROW()-3,"")</f>
        <v/>
      </c>
      <c r="B15" s="10"/>
      <c r="C15" s="9" t="str">
        <f aca="false">IF(B15&lt;&gt;"",TEXT(B15,"DDDD"),"")</f>
        <v/>
      </c>
      <c r="D15" s="9"/>
      <c r="E15" s="9"/>
      <c r="F15" s="9"/>
      <c r="G15" s="9"/>
      <c r="H15" s="9"/>
      <c r="I15" s="9"/>
      <c r="J15" s="9"/>
      <c r="K15" s="11" t="str">
        <f aca="false">IF(AND(B15&lt;&gt;"",I15&lt;&gt;"",F15&lt;&gt;""),IF(E15="Long",(I15-F15)*20,(F15-I15)*20),"")</f>
        <v/>
      </c>
      <c r="L15" s="12" t="str">
        <f aca="false">IF(AND(K15&lt;&gt;"",J15&lt;&gt;""),K15*J15,"")</f>
        <v/>
      </c>
      <c r="M15" s="13" t="str">
        <f aca="false">IF(AND(F15&lt;&gt;"",G15&lt;&gt;"",H15&lt;&gt;""),IF(E15="Long",(H15-F15)/(F15-G15),(F15-H15)/(G15-F15)),"")</f>
        <v/>
      </c>
      <c r="N15" s="13" t="str">
        <f aca="false">IF(AND(F15&lt;&gt;"",G15&lt;&gt;"",I15&lt;&gt;""),IF(E15="Long",(I15-F15)/(F15-G15),(F15-I15)/(G15-F15)),"")</f>
        <v/>
      </c>
      <c r="O15" s="9" t="str">
        <f aca="false">IF(L15="","",IF(L15&gt;0,"Win",IF(L15&lt;0,"Loss","Break Even")))</f>
        <v/>
      </c>
      <c r="P15" s="9"/>
      <c r="Q15" s="9"/>
      <c r="R15" s="9"/>
    </row>
    <row r="16" customFormat="false" ht="15" hidden="false" customHeight="false" outlineLevel="0" collapsed="false">
      <c r="A16" s="4" t="str">
        <f aca="false">IF(B16&lt;&gt;"",ROW()-3,"")</f>
        <v/>
      </c>
      <c r="B16" s="5"/>
      <c r="C16" s="4" t="str">
        <f aca="false">IF(B16&lt;&gt;"",TEXT(B16,"DDDD"),"")</f>
        <v/>
      </c>
      <c r="D16" s="4"/>
      <c r="E16" s="4"/>
      <c r="F16" s="4"/>
      <c r="G16" s="4"/>
      <c r="H16" s="4"/>
      <c r="I16" s="4"/>
      <c r="J16" s="4"/>
      <c r="K16" s="6" t="str">
        <f aca="false">IF(AND(B16&lt;&gt;"",I16&lt;&gt;"",F16&lt;&gt;""),IF(E16="Long",(I16-F16)*20,(F16-I16)*20),"")</f>
        <v/>
      </c>
      <c r="L16" s="7" t="str">
        <f aca="false">IF(AND(K16&lt;&gt;"",J16&lt;&gt;""),K16*J16,"")</f>
        <v/>
      </c>
      <c r="M16" s="8" t="str">
        <f aca="false">IF(AND(F16&lt;&gt;"",G16&lt;&gt;"",H16&lt;&gt;""),IF(E16="Long",(H16-F16)/(F16-G16),(F16-H16)/(G16-F16)),"")</f>
        <v/>
      </c>
      <c r="N16" s="8" t="str">
        <f aca="false">IF(AND(F16&lt;&gt;"",G16&lt;&gt;"",I16&lt;&gt;""),IF(E16="Long",(I16-F16)/(F16-G16),(F16-I16)/(G16-F16)),"")</f>
        <v/>
      </c>
      <c r="O16" s="4" t="str">
        <f aca="false">IF(L16="","",IF(L16&gt;0,"Win",IF(L16&lt;0,"Loss","Break Even")))</f>
        <v/>
      </c>
      <c r="P16" s="4"/>
      <c r="Q16" s="4"/>
      <c r="R16" s="4"/>
    </row>
    <row r="17" customFormat="false" ht="15" hidden="false" customHeight="false" outlineLevel="0" collapsed="false">
      <c r="A17" s="9" t="str">
        <f aca="false">IF(B17&lt;&gt;"",ROW()-3,"")</f>
        <v/>
      </c>
      <c r="B17" s="10"/>
      <c r="C17" s="9" t="str">
        <f aca="false">IF(B17&lt;&gt;"",TEXT(B17,"DDDD"),"")</f>
        <v/>
      </c>
      <c r="D17" s="9"/>
      <c r="E17" s="9"/>
      <c r="F17" s="9"/>
      <c r="G17" s="9"/>
      <c r="H17" s="9"/>
      <c r="I17" s="9"/>
      <c r="J17" s="9"/>
      <c r="K17" s="11" t="str">
        <f aca="false">IF(AND(B17&lt;&gt;"",I17&lt;&gt;"",F17&lt;&gt;""),IF(E17="Long",(I17-F17)*20,(F17-I17)*20),"")</f>
        <v/>
      </c>
      <c r="L17" s="12" t="str">
        <f aca="false">IF(AND(K17&lt;&gt;"",J17&lt;&gt;""),K17*J17,"")</f>
        <v/>
      </c>
      <c r="M17" s="13" t="str">
        <f aca="false">IF(AND(F17&lt;&gt;"",G17&lt;&gt;"",H17&lt;&gt;""),IF(E17="Long",(H17-F17)/(F17-G17),(F17-H17)/(G17-F17)),"")</f>
        <v/>
      </c>
      <c r="N17" s="13" t="str">
        <f aca="false">IF(AND(F17&lt;&gt;"",G17&lt;&gt;"",I17&lt;&gt;""),IF(E17="Long",(I17-F17)/(F17-G17),(F17-I17)/(G17-F17)),"")</f>
        <v/>
      </c>
      <c r="O17" s="9" t="str">
        <f aca="false">IF(L17="","",IF(L17&gt;0,"Win",IF(L17&lt;0,"Loss","Break Even")))</f>
        <v/>
      </c>
      <c r="P17" s="9"/>
      <c r="Q17" s="9"/>
      <c r="R17" s="9"/>
    </row>
    <row r="18" customFormat="false" ht="15" hidden="false" customHeight="false" outlineLevel="0" collapsed="false">
      <c r="A18" s="4" t="str">
        <f aca="false">IF(B18&lt;&gt;"",ROW()-3,"")</f>
        <v/>
      </c>
      <c r="B18" s="5"/>
      <c r="C18" s="4" t="str">
        <f aca="false">IF(B18&lt;&gt;"",TEXT(B18,"DDDD"),"")</f>
        <v/>
      </c>
      <c r="D18" s="4"/>
      <c r="E18" s="4"/>
      <c r="F18" s="4"/>
      <c r="G18" s="4"/>
      <c r="H18" s="4"/>
      <c r="I18" s="4"/>
      <c r="J18" s="4"/>
      <c r="K18" s="6" t="str">
        <f aca="false">IF(AND(B18&lt;&gt;"",I18&lt;&gt;"",F18&lt;&gt;""),IF(E18="Long",(I18-F18)*20,(F18-I18)*20),"")</f>
        <v/>
      </c>
      <c r="L18" s="7" t="str">
        <f aca="false">IF(AND(K18&lt;&gt;"",J18&lt;&gt;""),K18*J18,"")</f>
        <v/>
      </c>
      <c r="M18" s="8" t="str">
        <f aca="false">IF(AND(F18&lt;&gt;"",G18&lt;&gt;"",H18&lt;&gt;""),IF(E18="Long",(H18-F18)/(F18-G18),(F18-H18)/(G18-F18)),"")</f>
        <v/>
      </c>
      <c r="N18" s="8" t="str">
        <f aca="false">IF(AND(F18&lt;&gt;"",G18&lt;&gt;"",I18&lt;&gt;""),IF(E18="Long",(I18-F18)/(F18-G18),(F18-I18)/(G18-F18)),"")</f>
        <v/>
      </c>
      <c r="O18" s="4" t="str">
        <f aca="false">IF(L18="","",IF(L18&gt;0,"Win",IF(L18&lt;0,"Loss","Break Even")))</f>
        <v/>
      </c>
      <c r="P18" s="4"/>
      <c r="Q18" s="4"/>
      <c r="R18" s="4"/>
    </row>
    <row r="19" customFormat="false" ht="15" hidden="false" customHeight="false" outlineLevel="0" collapsed="false">
      <c r="A19" s="9" t="str">
        <f aca="false">IF(B19&lt;&gt;"",ROW()-3,"")</f>
        <v/>
      </c>
      <c r="B19" s="10"/>
      <c r="C19" s="9" t="str">
        <f aca="false">IF(B19&lt;&gt;"",TEXT(B19,"DDDD"),"")</f>
        <v/>
      </c>
      <c r="D19" s="9"/>
      <c r="E19" s="9"/>
      <c r="F19" s="9"/>
      <c r="G19" s="9"/>
      <c r="H19" s="9"/>
      <c r="I19" s="9"/>
      <c r="J19" s="9"/>
      <c r="K19" s="11" t="str">
        <f aca="false">IF(AND(B19&lt;&gt;"",I19&lt;&gt;"",F19&lt;&gt;""),IF(E19="Long",(I19-F19)*20,(F19-I19)*20),"")</f>
        <v/>
      </c>
      <c r="L19" s="12" t="str">
        <f aca="false">IF(AND(K19&lt;&gt;"",J19&lt;&gt;""),K19*J19,"")</f>
        <v/>
      </c>
      <c r="M19" s="13" t="str">
        <f aca="false">IF(AND(F19&lt;&gt;"",G19&lt;&gt;"",H19&lt;&gt;""),IF(E19="Long",(H19-F19)/(F19-G19),(F19-H19)/(G19-F19)),"")</f>
        <v/>
      </c>
      <c r="N19" s="13" t="str">
        <f aca="false">IF(AND(F19&lt;&gt;"",G19&lt;&gt;"",I19&lt;&gt;""),IF(E19="Long",(I19-F19)/(F19-G19),(F19-I19)/(G19-F19)),"")</f>
        <v/>
      </c>
      <c r="O19" s="9" t="str">
        <f aca="false">IF(L19="","",IF(L19&gt;0,"Win",IF(L19&lt;0,"Loss","Break Even")))</f>
        <v/>
      </c>
      <c r="P19" s="9"/>
      <c r="Q19" s="9"/>
      <c r="R19" s="9"/>
    </row>
    <row r="20" customFormat="false" ht="15" hidden="false" customHeight="false" outlineLevel="0" collapsed="false">
      <c r="A20" s="4" t="str">
        <f aca="false">IF(B20&lt;&gt;"",ROW()-3,"")</f>
        <v/>
      </c>
      <c r="B20" s="5"/>
      <c r="C20" s="4" t="str">
        <f aca="false">IF(B20&lt;&gt;"",TEXT(B20,"DDDD"),"")</f>
        <v/>
      </c>
      <c r="D20" s="4"/>
      <c r="E20" s="4"/>
      <c r="F20" s="4"/>
      <c r="G20" s="4"/>
      <c r="H20" s="4"/>
      <c r="I20" s="4"/>
      <c r="J20" s="4"/>
      <c r="K20" s="6" t="str">
        <f aca="false">IF(AND(B20&lt;&gt;"",I20&lt;&gt;"",F20&lt;&gt;""),IF(E20="Long",(I20-F20)*20,(F20-I20)*20),"")</f>
        <v/>
      </c>
      <c r="L20" s="7" t="str">
        <f aca="false">IF(AND(K20&lt;&gt;"",J20&lt;&gt;""),K20*J20,"")</f>
        <v/>
      </c>
      <c r="M20" s="8" t="str">
        <f aca="false">IF(AND(F20&lt;&gt;"",G20&lt;&gt;"",H20&lt;&gt;""),IF(E20="Long",(H20-F20)/(F20-G20),(F20-H20)/(G20-F20)),"")</f>
        <v/>
      </c>
      <c r="N20" s="8" t="str">
        <f aca="false">IF(AND(F20&lt;&gt;"",G20&lt;&gt;"",I20&lt;&gt;""),IF(E20="Long",(I20-F20)/(F20-G20),(F20-I20)/(G20-F20)),"")</f>
        <v/>
      </c>
      <c r="O20" s="4" t="str">
        <f aca="false">IF(L20="","",IF(L20&gt;0,"Win",IF(L20&lt;0,"Loss","Break Even")))</f>
        <v/>
      </c>
      <c r="P20" s="4"/>
      <c r="Q20" s="4"/>
      <c r="R20" s="4"/>
    </row>
    <row r="21" customFormat="false" ht="15" hidden="false" customHeight="false" outlineLevel="0" collapsed="false">
      <c r="A21" s="9" t="str">
        <f aca="false">IF(B21&lt;&gt;"",ROW()-3,"")</f>
        <v/>
      </c>
      <c r="B21" s="10"/>
      <c r="C21" s="9" t="str">
        <f aca="false">IF(B21&lt;&gt;"",TEXT(B21,"DDDD"),"")</f>
        <v/>
      </c>
      <c r="D21" s="9"/>
      <c r="E21" s="9"/>
      <c r="F21" s="9"/>
      <c r="G21" s="9"/>
      <c r="H21" s="9"/>
      <c r="I21" s="9"/>
      <c r="J21" s="9"/>
      <c r="K21" s="11" t="str">
        <f aca="false">IF(AND(B21&lt;&gt;"",I21&lt;&gt;"",F21&lt;&gt;""),IF(E21="Long",(I21-F21)*20,(F21-I21)*20),"")</f>
        <v/>
      </c>
      <c r="L21" s="12" t="str">
        <f aca="false">IF(AND(K21&lt;&gt;"",J21&lt;&gt;""),K21*J21,"")</f>
        <v/>
      </c>
      <c r="M21" s="13" t="str">
        <f aca="false">IF(AND(F21&lt;&gt;"",G21&lt;&gt;"",H21&lt;&gt;""),IF(E21="Long",(H21-F21)/(F21-G21),(F21-H21)/(G21-F21)),"")</f>
        <v/>
      </c>
      <c r="N21" s="13" t="str">
        <f aca="false">IF(AND(F21&lt;&gt;"",G21&lt;&gt;"",I21&lt;&gt;""),IF(E21="Long",(I21-F21)/(F21-G21),(F21-I21)/(G21-F21)),"")</f>
        <v/>
      </c>
      <c r="O21" s="9" t="str">
        <f aca="false">IF(L21="","",IF(L21&gt;0,"Win",IF(L21&lt;0,"Loss","Break Even")))</f>
        <v/>
      </c>
      <c r="P21" s="9"/>
      <c r="Q21" s="9"/>
      <c r="R21" s="9"/>
    </row>
    <row r="22" customFormat="false" ht="15" hidden="false" customHeight="false" outlineLevel="0" collapsed="false">
      <c r="A22" s="4" t="str">
        <f aca="false">IF(B22&lt;&gt;"",ROW()-3,"")</f>
        <v/>
      </c>
      <c r="B22" s="5"/>
      <c r="C22" s="4" t="str">
        <f aca="false">IF(B22&lt;&gt;"",TEXT(B22,"DDDD"),"")</f>
        <v/>
      </c>
      <c r="D22" s="4"/>
      <c r="E22" s="4"/>
      <c r="F22" s="4"/>
      <c r="G22" s="4"/>
      <c r="H22" s="4"/>
      <c r="I22" s="4"/>
      <c r="J22" s="4"/>
      <c r="K22" s="6" t="str">
        <f aca="false">IF(AND(B22&lt;&gt;"",I22&lt;&gt;"",F22&lt;&gt;""),IF(E22="Long",(I22-F22)*20,(F22-I22)*20),"")</f>
        <v/>
      </c>
      <c r="L22" s="7" t="str">
        <f aca="false">IF(AND(K22&lt;&gt;"",J22&lt;&gt;""),K22*J22,"")</f>
        <v/>
      </c>
      <c r="M22" s="8" t="str">
        <f aca="false">IF(AND(F22&lt;&gt;"",G22&lt;&gt;"",H22&lt;&gt;""),IF(E22="Long",(H22-F22)/(F22-G22),(F22-H22)/(G22-F22)),"")</f>
        <v/>
      </c>
      <c r="N22" s="8" t="str">
        <f aca="false">IF(AND(F22&lt;&gt;"",G22&lt;&gt;"",I22&lt;&gt;""),IF(E22="Long",(I22-F22)/(F22-G22),(F22-I22)/(G22-F22)),"")</f>
        <v/>
      </c>
      <c r="O22" s="4" t="str">
        <f aca="false">IF(L22="","",IF(L22&gt;0,"Win",IF(L22&lt;0,"Loss","Break Even")))</f>
        <v/>
      </c>
      <c r="P22" s="4"/>
      <c r="Q22" s="4"/>
      <c r="R22" s="4"/>
    </row>
    <row r="23" customFormat="false" ht="15" hidden="false" customHeight="false" outlineLevel="0" collapsed="false">
      <c r="A23" s="9" t="str">
        <f aca="false">IF(B23&lt;&gt;"",ROW()-3,"")</f>
        <v/>
      </c>
      <c r="B23" s="10"/>
      <c r="C23" s="9" t="str">
        <f aca="false">IF(B23&lt;&gt;"",TEXT(B23,"DDDD"),"")</f>
        <v/>
      </c>
      <c r="D23" s="9"/>
      <c r="E23" s="9"/>
      <c r="F23" s="9"/>
      <c r="G23" s="9"/>
      <c r="H23" s="9"/>
      <c r="I23" s="9"/>
      <c r="J23" s="9"/>
      <c r="K23" s="11" t="str">
        <f aca="false">IF(AND(B23&lt;&gt;"",I23&lt;&gt;"",F23&lt;&gt;""),IF(E23="Long",(I23-F23)*20,(F23-I23)*20),"")</f>
        <v/>
      </c>
      <c r="L23" s="12" t="str">
        <f aca="false">IF(AND(K23&lt;&gt;"",J23&lt;&gt;""),K23*J23,"")</f>
        <v/>
      </c>
      <c r="M23" s="13" t="str">
        <f aca="false">IF(AND(F23&lt;&gt;"",G23&lt;&gt;"",H23&lt;&gt;""),IF(E23="Long",(H23-F23)/(F23-G23),(F23-H23)/(G23-F23)),"")</f>
        <v/>
      </c>
      <c r="N23" s="13" t="str">
        <f aca="false">IF(AND(F23&lt;&gt;"",G23&lt;&gt;"",I23&lt;&gt;""),IF(E23="Long",(I23-F23)/(F23-G23),(F23-I23)/(G23-F23)),"")</f>
        <v/>
      </c>
      <c r="O23" s="9" t="str">
        <f aca="false">IF(L23="","",IF(L23&gt;0,"Win",IF(L23&lt;0,"Loss","Break Even")))</f>
        <v/>
      </c>
      <c r="P23" s="9"/>
      <c r="Q23" s="9"/>
      <c r="R23" s="9"/>
    </row>
    <row r="24" customFormat="false" ht="15" hidden="false" customHeight="false" outlineLevel="0" collapsed="false">
      <c r="A24" s="4" t="str">
        <f aca="false">IF(B24&lt;&gt;"",ROW()-3,"")</f>
        <v/>
      </c>
      <c r="B24" s="5"/>
      <c r="C24" s="4" t="str">
        <f aca="false">IF(B24&lt;&gt;"",TEXT(B24,"DDDD"),"")</f>
        <v/>
      </c>
      <c r="D24" s="4"/>
      <c r="E24" s="4"/>
      <c r="F24" s="4"/>
      <c r="G24" s="4"/>
      <c r="H24" s="4"/>
      <c r="I24" s="4"/>
      <c r="J24" s="4"/>
      <c r="K24" s="6" t="str">
        <f aca="false">IF(AND(B24&lt;&gt;"",I24&lt;&gt;"",F24&lt;&gt;""),IF(E24="Long",(I24-F24)*20,(F24-I24)*20),"")</f>
        <v/>
      </c>
      <c r="L24" s="7" t="str">
        <f aca="false">IF(AND(K24&lt;&gt;"",J24&lt;&gt;""),K24*J24,"")</f>
        <v/>
      </c>
      <c r="M24" s="8" t="str">
        <f aca="false">IF(AND(F24&lt;&gt;"",G24&lt;&gt;"",H24&lt;&gt;""),IF(E24="Long",(H24-F24)/(F24-G24),(F24-H24)/(G24-F24)),"")</f>
        <v/>
      </c>
      <c r="N24" s="8" t="str">
        <f aca="false">IF(AND(F24&lt;&gt;"",G24&lt;&gt;"",I24&lt;&gt;""),IF(E24="Long",(I24-F24)/(F24-G24),(F24-I24)/(G24-F24)),"")</f>
        <v/>
      </c>
      <c r="O24" s="4" t="str">
        <f aca="false">IF(L24="","",IF(L24&gt;0,"Win",IF(L24&lt;0,"Loss","Break Even")))</f>
        <v/>
      </c>
      <c r="P24" s="4"/>
      <c r="Q24" s="4"/>
      <c r="R24" s="4"/>
    </row>
    <row r="25" customFormat="false" ht="15" hidden="false" customHeight="false" outlineLevel="0" collapsed="false">
      <c r="A25" s="9" t="str">
        <f aca="false">IF(B25&lt;&gt;"",ROW()-3,"")</f>
        <v/>
      </c>
      <c r="B25" s="10"/>
      <c r="C25" s="9" t="str">
        <f aca="false">IF(B25&lt;&gt;"",TEXT(B25,"DDDD"),"")</f>
        <v/>
      </c>
      <c r="D25" s="9"/>
      <c r="E25" s="9"/>
      <c r="F25" s="9"/>
      <c r="G25" s="9"/>
      <c r="H25" s="9"/>
      <c r="I25" s="9"/>
      <c r="J25" s="9"/>
      <c r="K25" s="11" t="str">
        <f aca="false">IF(AND(B25&lt;&gt;"",I25&lt;&gt;"",F25&lt;&gt;""),IF(E25="Long",(I25-F25)*20,(F25-I25)*20),"")</f>
        <v/>
      </c>
      <c r="L25" s="12" t="str">
        <f aca="false">IF(AND(K25&lt;&gt;"",J25&lt;&gt;""),K25*J25,"")</f>
        <v/>
      </c>
      <c r="M25" s="13" t="str">
        <f aca="false">IF(AND(F25&lt;&gt;"",G25&lt;&gt;"",H25&lt;&gt;""),IF(E25="Long",(H25-F25)/(F25-G25),(F25-H25)/(G25-F25)),"")</f>
        <v/>
      </c>
      <c r="N25" s="13" t="str">
        <f aca="false">IF(AND(F25&lt;&gt;"",G25&lt;&gt;"",I25&lt;&gt;""),IF(E25="Long",(I25-F25)/(F25-G25),(F25-I25)/(G25-F25)),"")</f>
        <v/>
      </c>
      <c r="O25" s="9" t="str">
        <f aca="false">IF(L25="","",IF(L25&gt;0,"Win",IF(L25&lt;0,"Loss","Break Even")))</f>
        <v/>
      </c>
      <c r="P25" s="9"/>
      <c r="Q25" s="9"/>
      <c r="R25" s="9"/>
    </row>
    <row r="26" customFormat="false" ht="15" hidden="false" customHeight="false" outlineLevel="0" collapsed="false">
      <c r="A26" s="4" t="str">
        <f aca="false">IF(B26&lt;&gt;"",ROW()-3,"")</f>
        <v/>
      </c>
      <c r="B26" s="5"/>
      <c r="C26" s="4" t="str">
        <f aca="false">IF(B26&lt;&gt;"",TEXT(B26,"DDDD"),"")</f>
        <v/>
      </c>
      <c r="D26" s="4"/>
      <c r="E26" s="4"/>
      <c r="F26" s="4"/>
      <c r="G26" s="4"/>
      <c r="H26" s="4"/>
      <c r="I26" s="4"/>
      <c r="J26" s="4"/>
      <c r="K26" s="6" t="str">
        <f aca="false">IF(AND(B26&lt;&gt;"",I26&lt;&gt;"",F26&lt;&gt;""),IF(E26="Long",(I26-F26)*20,(F26-I26)*20),"")</f>
        <v/>
      </c>
      <c r="L26" s="7" t="str">
        <f aca="false">IF(AND(K26&lt;&gt;"",J26&lt;&gt;""),K26*J26,"")</f>
        <v/>
      </c>
      <c r="M26" s="8" t="str">
        <f aca="false">IF(AND(F26&lt;&gt;"",G26&lt;&gt;"",H26&lt;&gt;""),IF(E26="Long",(H26-F26)/(F26-G26),(F26-H26)/(G26-F26)),"")</f>
        <v/>
      </c>
      <c r="N26" s="8" t="str">
        <f aca="false">IF(AND(F26&lt;&gt;"",G26&lt;&gt;"",I26&lt;&gt;""),IF(E26="Long",(I26-F26)/(F26-G26),(F26-I26)/(G26-F26)),"")</f>
        <v/>
      </c>
      <c r="O26" s="4" t="str">
        <f aca="false">IF(L26="","",IF(L26&gt;0,"Win",IF(L26&lt;0,"Loss","Break Even")))</f>
        <v/>
      </c>
      <c r="P26" s="4"/>
      <c r="Q26" s="4"/>
      <c r="R26" s="4"/>
    </row>
    <row r="27" customFormat="false" ht="15" hidden="false" customHeight="false" outlineLevel="0" collapsed="false">
      <c r="A27" s="9" t="str">
        <f aca="false">IF(B27&lt;&gt;"",ROW()-3,"")</f>
        <v/>
      </c>
      <c r="B27" s="10"/>
      <c r="C27" s="9" t="str">
        <f aca="false">IF(B27&lt;&gt;"",TEXT(B27,"DDDD"),"")</f>
        <v/>
      </c>
      <c r="D27" s="9"/>
      <c r="E27" s="9"/>
      <c r="F27" s="9"/>
      <c r="G27" s="9"/>
      <c r="H27" s="9"/>
      <c r="I27" s="9"/>
      <c r="J27" s="9"/>
      <c r="K27" s="11" t="str">
        <f aca="false">IF(AND(B27&lt;&gt;"",I27&lt;&gt;"",F27&lt;&gt;""),IF(E27="Long",(I27-F27)*20,(F27-I27)*20),"")</f>
        <v/>
      </c>
      <c r="L27" s="12" t="str">
        <f aca="false">IF(AND(K27&lt;&gt;"",J27&lt;&gt;""),K27*J27,"")</f>
        <v/>
      </c>
      <c r="M27" s="13" t="str">
        <f aca="false">IF(AND(F27&lt;&gt;"",G27&lt;&gt;"",H27&lt;&gt;""),IF(E27="Long",(H27-F27)/(F27-G27),(F27-H27)/(G27-F27)),"")</f>
        <v/>
      </c>
      <c r="N27" s="13" t="str">
        <f aca="false">IF(AND(F27&lt;&gt;"",G27&lt;&gt;"",I27&lt;&gt;""),IF(E27="Long",(I27-F27)/(F27-G27),(F27-I27)/(G27-F27)),"")</f>
        <v/>
      </c>
      <c r="O27" s="9" t="str">
        <f aca="false">IF(L27="","",IF(L27&gt;0,"Win",IF(L27&lt;0,"Loss","Break Even")))</f>
        <v/>
      </c>
      <c r="P27" s="9"/>
      <c r="Q27" s="9"/>
      <c r="R27" s="9"/>
    </row>
    <row r="28" customFormat="false" ht="15" hidden="false" customHeight="false" outlineLevel="0" collapsed="false">
      <c r="A28" s="4" t="str">
        <f aca="false">IF(B28&lt;&gt;"",ROW()-3,"")</f>
        <v/>
      </c>
      <c r="B28" s="5"/>
      <c r="C28" s="4" t="str">
        <f aca="false">IF(B28&lt;&gt;"",TEXT(B28,"DDDD"),"")</f>
        <v/>
      </c>
      <c r="D28" s="4"/>
      <c r="E28" s="4"/>
      <c r="F28" s="4"/>
      <c r="G28" s="4"/>
      <c r="H28" s="4"/>
      <c r="I28" s="4"/>
      <c r="J28" s="4"/>
      <c r="K28" s="6" t="str">
        <f aca="false">IF(AND(B28&lt;&gt;"",I28&lt;&gt;"",F28&lt;&gt;""),IF(E28="Long",(I28-F28)*20,(F28-I28)*20),"")</f>
        <v/>
      </c>
      <c r="L28" s="7" t="str">
        <f aca="false">IF(AND(K28&lt;&gt;"",J28&lt;&gt;""),K28*J28,"")</f>
        <v/>
      </c>
      <c r="M28" s="8" t="str">
        <f aca="false">IF(AND(F28&lt;&gt;"",G28&lt;&gt;"",H28&lt;&gt;""),IF(E28="Long",(H28-F28)/(F28-G28),(F28-H28)/(G28-F28)),"")</f>
        <v/>
      </c>
      <c r="N28" s="8" t="str">
        <f aca="false">IF(AND(F28&lt;&gt;"",G28&lt;&gt;"",I28&lt;&gt;""),IF(E28="Long",(I28-F28)/(F28-G28),(F28-I28)/(G28-F28)),"")</f>
        <v/>
      </c>
      <c r="O28" s="4" t="str">
        <f aca="false">IF(L28="","",IF(L28&gt;0,"Win",IF(L28&lt;0,"Loss","Break Even")))</f>
        <v/>
      </c>
      <c r="P28" s="4"/>
      <c r="Q28" s="4"/>
      <c r="R28" s="4"/>
    </row>
    <row r="29" customFormat="false" ht="15" hidden="false" customHeight="false" outlineLevel="0" collapsed="false">
      <c r="A29" s="9" t="str">
        <f aca="false">IF(B29&lt;&gt;"",ROW()-3,"")</f>
        <v/>
      </c>
      <c r="B29" s="10"/>
      <c r="C29" s="9" t="str">
        <f aca="false">IF(B29&lt;&gt;"",TEXT(B29,"DDDD"),"")</f>
        <v/>
      </c>
      <c r="D29" s="9"/>
      <c r="E29" s="9"/>
      <c r="F29" s="9"/>
      <c r="G29" s="9"/>
      <c r="H29" s="9"/>
      <c r="I29" s="9"/>
      <c r="J29" s="9"/>
      <c r="K29" s="11" t="str">
        <f aca="false">IF(AND(B29&lt;&gt;"",I29&lt;&gt;"",F29&lt;&gt;""),IF(E29="Long",(I29-F29)*20,(F29-I29)*20),"")</f>
        <v/>
      </c>
      <c r="L29" s="12" t="str">
        <f aca="false">IF(AND(K29&lt;&gt;"",J29&lt;&gt;""),K29*J29,"")</f>
        <v/>
      </c>
      <c r="M29" s="13" t="str">
        <f aca="false">IF(AND(F29&lt;&gt;"",G29&lt;&gt;"",H29&lt;&gt;""),IF(E29="Long",(H29-F29)/(F29-G29),(F29-H29)/(G29-F29)),"")</f>
        <v/>
      </c>
      <c r="N29" s="13" t="str">
        <f aca="false">IF(AND(F29&lt;&gt;"",G29&lt;&gt;"",I29&lt;&gt;""),IF(E29="Long",(I29-F29)/(F29-G29),(F29-I29)/(G29-F29)),"")</f>
        <v/>
      </c>
      <c r="O29" s="9" t="str">
        <f aca="false">IF(L29="","",IF(L29&gt;0,"Win",IF(L29&lt;0,"Loss","Break Even")))</f>
        <v/>
      </c>
      <c r="P29" s="9"/>
      <c r="Q29" s="9"/>
      <c r="R29" s="9"/>
    </row>
    <row r="30" customFormat="false" ht="15" hidden="false" customHeight="false" outlineLevel="0" collapsed="false">
      <c r="A30" s="4" t="str">
        <f aca="false">IF(B30&lt;&gt;"",ROW()-3,"")</f>
        <v/>
      </c>
      <c r="B30" s="5"/>
      <c r="C30" s="4" t="str">
        <f aca="false">IF(B30&lt;&gt;"",TEXT(B30,"DDDD"),"")</f>
        <v/>
      </c>
      <c r="D30" s="4"/>
      <c r="E30" s="4"/>
      <c r="F30" s="4"/>
      <c r="G30" s="4"/>
      <c r="H30" s="4"/>
      <c r="I30" s="4"/>
      <c r="J30" s="4"/>
      <c r="K30" s="6" t="str">
        <f aca="false">IF(AND(B30&lt;&gt;"",I30&lt;&gt;"",F30&lt;&gt;""),IF(E30="Long",(I30-F30)*20,(F30-I30)*20),"")</f>
        <v/>
      </c>
      <c r="L30" s="7" t="str">
        <f aca="false">IF(AND(K30&lt;&gt;"",J30&lt;&gt;""),K30*J30,"")</f>
        <v/>
      </c>
      <c r="M30" s="8" t="str">
        <f aca="false">IF(AND(F30&lt;&gt;"",G30&lt;&gt;"",H30&lt;&gt;""),IF(E30="Long",(H30-F30)/(F30-G30),(F30-H30)/(G30-F30)),"")</f>
        <v/>
      </c>
      <c r="N30" s="8" t="str">
        <f aca="false">IF(AND(F30&lt;&gt;"",G30&lt;&gt;"",I30&lt;&gt;""),IF(E30="Long",(I30-F30)/(F30-G30),(F30-I30)/(G30-F30)),"")</f>
        <v/>
      </c>
      <c r="O30" s="4" t="str">
        <f aca="false">IF(L30="","",IF(L30&gt;0,"Win",IF(L30&lt;0,"Loss","Break Even")))</f>
        <v/>
      </c>
      <c r="P30" s="4"/>
      <c r="Q30" s="4"/>
      <c r="R30" s="4"/>
    </row>
    <row r="31" customFormat="false" ht="15" hidden="false" customHeight="false" outlineLevel="0" collapsed="false">
      <c r="A31" s="9" t="str">
        <f aca="false">IF(B31&lt;&gt;"",ROW()-3,"")</f>
        <v/>
      </c>
      <c r="B31" s="10"/>
      <c r="C31" s="9" t="str">
        <f aca="false">IF(B31&lt;&gt;"",TEXT(B31,"DDDD"),"")</f>
        <v/>
      </c>
      <c r="D31" s="9"/>
      <c r="E31" s="9"/>
      <c r="F31" s="9"/>
      <c r="G31" s="9"/>
      <c r="H31" s="9"/>
      <c r="I31" s="9"/>
      <c r="J31" s="9"/>
      <c r="K31" s="11" t="str">
        <f aca="false">IF(AND(B31&lt;&gt;"",I31&lt;&gt;"",F31&lt;&gt;""),IF(E31="Long",(I31-F31)*20,(F31-I31)*20),"")</f>
        <v/>
      </c>
      <c r="L31" s="12" t="str">
        <f aca="false">IF(AND(K31&lt;&gt;"",J31&lt;&gt;""),K31*J31,"")</f>
        <v/>
      </c>
      <c r="M31" s="13" t="str">
        <f aca="false">IF(AND(F31&lt;&gt;"",G31&lt;&gt;"",H31&lt;&gt;""),IF(E31="Long",(H31-F31)/(F31-G31),(F31-H31)/(G31-F31)),"")</f>
        <v/>
      </c>
      <c r="N31" s="13" t="str">
        <f aca="false">IF(AND(F31&lt;&gt;"",G31&lt;&gt;"",I31&lt;&gt;""),IF(E31="Long",(I31-F31)/(F31-G31),(F31-I31)/(G31-F31)),"")</f>
        <v/>
      </c>
      <c r="O31" s="9" t="str">
        <f aca="false">IF(L31="","",IF(L31&gt;0,"Win",IF(L31&lt;0,"Loss","Break Even")))</f>
        <v/>
      </c>
      <c r="P31" s="9"/>
      <c r="Q31" s="9"/>
      <c r="R31" s="9"/>
    </row>
    <row r="32" customFormat="false" ht="15" hidden="false" customHeight="false" outlineLevel="0" collapsed="false">
      <c r="A32" s="4" t="str">
        <f aca="false">IF(B32&lt;&gt;"",ROW()-3,"")</f>
        <v/>
      </c>
      <c r="B32" s="5"/>
      <c r="C32" s="4" t="str">
        <f aca="false">IF(B32&lt;&gt;"",TEXT(B32,"DDDD"),"")</f>
        <v/>
      </c>
      <c r="D32" s="4"/>
      <c r="E32" s="4"/>
      <c r="F32" s="4"/>
      <c r="G32" s="4"/>
      <c r="H32" s="4"/>
      <c r="I32" s="4"/>
      <c r="J32" s="4"/>
      <c r="K32" s="6" t="str">
        <f aca="false">IF(AND(B32&lt;&gt;"",I32&lt;&gt;"",F32&lt;&gt;""),IF(E32="Long",(I32-F32)*20,(F32-I32)*20),"")</f>
        <v/>
      </c>
      <c r="L32" s="7" t="str">
        <f aca="false">IF(AND(K32&lt;&gt;"",J32&lt;&gt;""),K32*J32,"")</f>
        <v/>
      </c>
      <c r="M32" s="8" t="str">
        <f aca="false">IF(AND(F32&lt;&gt;"",G32&lt;&gt;"",H32&lt;&gt;""),IF(E32="Long",(H32-F32)/(F32-G32),(F32-H32)/(G32-F32)),"")</f>
        <v/>
      </c>
      <c r="N32" s="8" t="str">
        <f aca="false">IF(AND(F32&lt;&gt;"",G32&lt;&gt;"",I32&lt;&gt;""),IF(E32="Long",(I32-F32)/(F32-G32),(F32-I32)/(G32-F32)),"")</f>
        <v/>
      </c>
      <c r="O32" s="4" t="str">
        <f aca="false">IF(L32="","",IF(L32&gt;0,"Win",IF(L32&lt;0,"Loss","Break Even")))</f>
        <v/>
      </c>
      <c r="P32" s="4"/>
      <c r="Q32" s="4"/>
      <c r="R32" s="4"/>
    </row>
    <row r="33" customFormat="false" ht="15" hidden="false" customHeight="false" outlineLevel="0" collapsed="false">
      <c r="A33" s="9" t="str">
        <f aca="false">IF(B33&lt;&gt;"",ROW()-3,"")</f>
        <v/>
      </c>
      <c r="B33" s="10"/>
      <c r="C33" s="9" t="str">
        <f aca="false">IF(B33&lt;&gt;"",TEXT(B33,"DDDD"),"")</f>
        <v/>
      </c>
      <c r="D33" s="9"/>
      <c r="E33" s="9"/>
      <c r="F33" s="9"/>
      <c r="G33" s="9"/>
      <c r="H33" s="9"/>
      <c r="I33" s="9"/>
      <c r="J33" s="9"/>
      <c r="K33" s="11" t="str">
        <f aca="false">IF(AND(B33&lt;&gt;"",I33&lt;&gt;"",F33&lt;&gt;""),IF(E33="Long",(I33-F33)*20,(F33-I33)*20),"")</f>
        <v/>
      </c>
      <c r="L33" s="12" t="str">
        <f aca="false">IF(AND(K33&lt;&gt;"",J33&lt;&gt;""),K33*J33,"")</f>
        <v/>
      </c>
      <c r="M33" s="13" t="str">
        <f aca="false">IF(AND(F33&lt;&gt;"",G33&lt;&gt;"",H33&lt;&gt;""),IF(E33="Long",(H33-F33)/(F33-G33),(F33-H33)/(G33-F33)),"")</f>
        <v/>
      </c>
      <c r="N33" s="13" t="str">
        <f aca="false">IF(AND(F33&lt;&gt;"",G33&lt;&gt;"",I33&lt;&gt;""),IF(E33="Long",(I33-F33)/(F33-G33),(F33-I33)/(G33-F33)),"")</f>
        <v/>
      </c>
      <c r="O33" s="9" t="str">
        <f aca="false">IF(L33="","",IF(L33&gt;0,"Win",IF(L33&lt;0,"Loss","Break Even")))</f>
        <v/>
      </c>
      <c r="P33" s="9"/>
      <c r="Q33" s="9"/>
      <c r="R33" s="9"/>
    </row>
    <row r="34" customFormat="false" ht="15" hidden="false" customHeight="false" outlineLevel="0" collapsed="false">
      <c r="A34" s="4" t="str">
        <f aca="false">IF(B34&lt;&gt;"",ROW()-3,"")</f>
        <v/>
      </c>
      <c r="B34" s="5"/>
      <c r="C34" s="4" t="str">
        <f aca="false">IF(B34&lt;&gt;"",TEXT(B34,"DDDD"),"")</f>
        <v/>
      </c>
      <c r="D34" s="4"/>
      <c r="E34" s="4"/>
      <c r="F34" s="4"/>
      <c r="G34" s="4"/>
      <c r="H34" s="4"/>
      <c r="I34" s="4"/>
      <c r="J34" s="4"/>
      <c r="K34" s="6" t="str">
        <f aca="false">IF(AND(B34&lt;&gt;"",I34&lt;&gt;"",F34&lt;&gt;""),IF(E34="Long",(I34-F34)*20,(F34-I34)*20),"")</f>
        <v/>
      </c>
      <c r="L34" s="7" t="str">
        <f aca="false">IF(AND(K34&lt;&gt;"",J34&lt;&gt;""),K34*J34,"")</f>
        <v/>
      </c>
      <c r="M34" s="8" t="str">
        <f aca="false">IF(AND(F34&lt;&gt;"",G34&lt;&gt;"",H34&lt;&gt;""),IF(E34="Long",(H34-F34)/(F34-G34),(F34-H34)/(G34-F34)),"")</f>
        <v/>
      </c>
      <c r="N34" s="8" t="str">
        <f aca="false">IF(AND(F34&lt;&gt;"",G34&lt;&gt;"",I34&lt;&gt;""),IF(E34="Long",(I34-F34)/(F34-G34),(F34-I34)/(G34-F34)),"")</f>
        <v/>
      </c>
      <c r="O34" s="4" t="str">
        <f aca="false">IF(L34="","",IF(L34&gt;0,"Win",IF(L34&lt;0,"Loss","Break Even")))</f>
        <v/>
      </c>
      <c r="P34" s="4"/>
      <c r="Q34" s="4"/>
      <c r="R34" s="4"/>
    </row>
    <row r="35" customFormat="false" ht="15" hidden="false" customHeight="false" outlineLevel="0" collapsed="false">
      <c r="A35" s="9" t="str">
        <f aca="false">IF(B35&lt;&gt;"",ROW()-3,"")</f>
        <v/>
      </c>
      <c r="B35" s="10"/>
      <c r="C35" s="9" t="str">
        <f aca="false">IF(B35&lt;&gt;"",TEXT(B35,"DDDD"),"")</f>
        <v/>
      </c>
      <c r="D35" s="9"/>
      <c r="E35" s="9"/>
      <c r="F35" s="9"/>
      <c r="G35" s="9"/>
      <c r="H35" s="9"/>
      <c r="I35" s="9"/>
      <c r="J35" s="9"/>
      <c r="K35" s="11" t="str">
        <f aca="false">IF(AND(B35&lt;&gt;"",I35&lt;&gt;"",F35&lt;&gt;""),IF(E35="Long",(I35-F35)*20,(F35-I35)*20),"")</f>
        <v/>
      </c>
      <c r="L35" s="12" t="str">
        <f aca="false">IF(AND(K35&lt;&gt;"",J35&lt;&gt;""),K35*J35,"")</f>
        <v/>
      </c>
      <c r="M35" s="13" t="str">
        <f aca="false">IF(AND(F35&lt;&gt;"",G35&lt;&gt;"",H35&lt;&gt;""),IF(E35="Long",(H35-F35)/(F35-G35),(F35-H35)/(G35-F35)),"")</f>
        <v/>
      </c>
      <c r="N35" s="13" t="str">
        <f aca="false">IF(AND(F35&lt;&gt;"",G35&lt;&gt;"",I35&lt;&gt;""),IF(E35="Long",(I35-F35)/(F35-G35),(F35-I35)/(G35-F35)),"")</f>
        <v/>
      </c>
      <c r="O35" s="9" t="str">
        <f aca="false">IF(L35="","",IF(L35&gt;0,"Win",IF(L35&lt;0,"Loss","Break Even")))</f>
        <v/>
      </c>
      <c r="P35" s="9"/>
      <c r="Q35" s="9"/>
      <c r="R35" s="9"/>
    </row>
    <row r="36" customFormat="false" ht="15" hidden="false" customHeight="false" outlineLevel="0" collapsed="false">
      <c r="A36" s="4" t="str">
        <f aca="false">IF(B36&lt;&gt;"",ROW()-3,"")</f>
        <v/>
      </c>
      <c r="B36" s="5"/>
      <c r="C36" s="4" t="str">
        <f aca="false">IF(B36&lt;&gt;"",TEXT(B36,"DDDD"),"")</f>
        <v/>
      </c>
      <c r="D36" s="4"/>
      <c r="E36" s="4"/>
      <c r="F36" s="4"/>
      <c r="G36" s="4"/>
      <c r="H36" s="4"/>
      <c r="I36" s="4"/>
      <c r="J36" s="4"/>
      <c r="K36" s="6" t="str">
        <f aca="false">IF(AND(B36&lt;&gt;"",I36&lt;&gt;"",F36&lt;&gt;""),IF(E36="Long",(I36-F36)*20,(F36-I36)*20),"")</f>
        <v/>
      </c>
      <c r="L36" s="7" t="str">
        <f aca="false">IF(AND(K36&lt;&gt;"",J36&lt;&gt;""),K36*J36,"")</f>
        <v/>
      </c>
      <c r="M36" s="8" t="str">
        <f aca="false">IF(AND(F36&lt;&gt;"",G36&lt;&gt;"",H36&lt;&gt;""),IF(E36="Long",(H36-F36)/(F36-G36),(F36-H36)/(G36-F36)),"")</f>
        <v/>
      </c>
      <c r="N36" s="8" t="str">
        <f aca="false">IF(AND(F36&lt;&gt;"",G36&lt;&gt;"",I36&lt;&gt;""),IF(E36="Long",(I36-F36)/(F36-G36),(F36-I36)/(G36-F36)),"")</f>
        <v/>
      </c>
      <c r="O36" s="4" t="str">
        <f aca="false">IF(L36="","",IF(L36&gt;0,"Win",IF(L36&lt;0,"Loss","Break Even")))</f>
        <v/>
      </c>
      <c r="P36" s="4"/>
      <c r="Q36" s="4"/>
      <c r="R36" s="4"/>
    </row>
    <row r="37" customFormat="false" ht="15" hidden="false" customHeight="false" outlineLevel="0" collapsed="false">
      <c r="A37" s="9" t="str">
        <f aca="false">IF(B37&lt;&gt;"",ROW()-3,"")</f>
        <v/>
      </c>
      <c r="B37" s="10"/>
      <c r="C37" s="9" t="str">
        <f aca="false">IF(B37&lt;&gt;"",TEXT(B37,"DDDD"),"")</f>
        <v/>
      </c>
      <c r="D37" s="9"/>
      <c r="E37" s="9"/>
      <c r="F37" s="9"/>
      <c r="G37" s="9"/>
      <c r="H37" s="9"/>
      <c r="I37" s="9"/>
      <c r="J37" s="9"/>
      <c r="K37" s="11" t="str">
        <f aca="false">IF(AND(B37&lt;&gt;"",I37&lt;&gt;"",F37&lt;&gt;""),IF(E37="Long",(I37-F37)*20,(F37-I37)*20),"")</f>
        <v/>
      </c>
      <c r="L37" s="12" t="str">
        <f aca="false">IF(AND(K37&lt;&gt;"",J37&lt;&gt;""),K37*J37,"")</f>
        <v/>
      </c>
      <c r="M37" s="13" t="str">
        <f aca="false">IF(AND(F37&lt;&gt;"",G37&lt;&gt;"",H37&lt;&gt;""),IF(E37="Long",(H37-F37)/(F37-G37),(F37-H37)/(G37-F37)),"")</f>
        <v/>
      </c>
      <c r="N37" s="13" t="str">
        <f aca="false">IF(AND(F37&lt;&gt;"",G37&lt;&gt;"",I37&lt;&gt;""),IF(E37="Long",(I37-F37)/(F37-G37),(F37-I37)/(G37-F37)),"")</f>
        <v/>
      </c>
      <c r="O37" s="9" t="str">
        <f aca="false">IF(L37="","",IF(L37&gt;0,"Win",IF(L37&lt;0,"Loss","Break Even")))</f>
        <v/>
      </c>
      <c r="P37" s="9"/>
      <c r="Q37" s="9"/>
      <c r="R37" s="9"/>
    </row>
    <row r="38" customFormat="false" ht="15" hidden="false" customHeight="false" outlineLevel="0" collapsed="false">
      <c r="A38" s="4" t="str">
        <f aca="false">IF(B38&lt;&gt;"",ROW()-3,"")</f>
        <v/>
      </c>
      <c r="B38" s="5"/>
      <c r="C38" s="4" t="str">
        <f aca="false">IF(B38&lt;&gt;"",TEXT(B38,"DDDD"),"")</f>
        <v/>
      </c>
      <c r="D38" s="4"/>
      <c r="E38" s="4"/>
      <c r="F38" s="4"/>
      <c r="G38" s="4"/>
      <c r="H38" s="4"/>
      <c r="I38" s="4"/>
      <c r="J38" s="4"/>
      <c r="K38" s="6" t="str">
        <f aca="false">IF(AND(B38&lt;&gt;"",I38&lt;&gt;"",F38&lt;&gt;""),IF(E38="Long",(I38-F38)*20,(F38-I38)*20),"")</f>
        <v/>
      </c>
      <c r="L38" s="7" t="str">
        <f aca="false">IF(AND(K38&lt;&gt;"",J38&lt;&gt;""),K38*J38,"")</f>
        <v/>
      </c>
      <c r="M38" s="8" t="str">
        <f aca="false">IF(AND(F38&lt;&gt;"",G38&lt;&gt;"",H38&lt;&gt;""),IF(E38="Long",(H38-F38)/(F38-G38),(F38-H38)/(G38-F38)),"")</f>
        <v/>
      </c>
      <c r="N38" s="8" t="str">
        <f aca="false">IF(AND(F38&lt;&gt;"",G38&lt;&gt;"",I38&lt;&gt;""),IF(E38="Long",(I38-F38)/(F38-G38),(F38-I38)/(G38-F38)),"")</f>
        <v/>
      </c>
      <c r="O38" s="4" t="str">
        <f aca="false">IF(L38="","",IF(L38&gt;0,"Win",IF(L38&lt;0,"Loss","Break Even")))</f>
        <v/>
      </c>
      <c r="P38" s="4"/>
      <c r="Q38" s="4"/>
      <c r="R38" s="4"/>
    </row>
    <row r="39" customFormat="false" ht="15" hidden="false" customHeight="false" outlineLevel="0" collapsed="false">
      <c r="A39" s="9" t="str">
        <f aca="false">IF(B39&lt;&gt;"",ROW()-3,"")</f>
        <v/>
      </c>
      <c r="B39" s="10"/>
      <c r="C39" s="9" t="str">
        <f aca="false">IF(B39&lt;&gt;"",TEXT(B39,"DDDD"),"")</f>
        <v/>
      </c>
      <c r="D39" s="9"/>
      <c r="E39" s="9"/>
      <c r="F39" s="9"/>
      <c r="G39" s="9"/>
      <c r="H39" s="9"/>
      <c r="I39" s="9"/>
      <c r="J39" s="9"/>
      <c r="K39" s="11" t="str">
        <f aca="false">IF(AND(B39&lt;&gt;"",I39&lt;&gt;"",F39&lt;&gt;""),IF(E39="Long",(I39-F39)*20,(F39-I39)*20),"")</f>
        <v/>
      </c>
      <c r="L39" s="12" t="str">
        <f aca="false">IF(AND(K39&lt;&gt;"",J39&lt;&gt;""),K39*J39,"")</f>
        <v/>
      </c>
      <c r="M39" s="13" t="str">
        <f aca="false">IF(AND(F39&lt;&gt;"",G39&lt;&gt;"",H39&lt;&gt;""),IF(E39="Long",(H39-F39)/(F39-G39),(F39-H39)/(G39-F39)),"")</f>
        <v/>
      </c>
      <c r="N39" s="13" t="str">
        <f aca="false">IF(AND(F39&lt;&gt;"",G39&lt;&gt;"",I39&lt;&gt;""),IF(E39="Long",(I39-F39)/(F39-G39),(F39-I39)/(G39-F39)),"")</f>
        <v/>
      </c>
      <c r="O39" s="9" t="str">
        <f aca="false">IF(L39="","",IF(L39&gt;0,"Win",IF(L39&lt;0,"Loss","Break Even")))</f>
        <v/>
      </c>
      <c r="P39" s="9"/>
      <c r="Q39" s="9"/>
      <c r="R39" s="9"/>
    </row>
    <row r="40" customFormat="false" ht="15" hidden="false" customHeight="false" outlineLevel="0" collapsed="false">
      <c r="A40" s="4" t="str">
        <f aca="false">IF(B40&lt;&gt;"",ROW()-3,"")</f>
        <v/>
      </c>
      <c r="B40" s="5"/>
      <c r="C40" s="4" t="str">
        <f aca="false">IF(B40&lt;&gt;"",TEXT(B40,"DDDD"),"")</f>
        <v/>
      </c>
      <c r="D40" s="4"/>
      <c r="E40" s="4"/>
      <c r="F40" s="4"/>
      <c r="G40" s="4"/>
      <c r="H40" s="4"/>
      <c r="I40" s="4"/>
      <c r="J40" s="4"/>
      <c r="K40" s="6" t="str">
        <f aca="false">IF(AND(B40&lt;&gt;"",I40&lt;&gt;"",F40&lt;&gt;""),IF(E40="Long",(I40-F40)*20,(F40-I40)*20),"")</f>
        <v/>
      </c>
      <c r="L40" s="7" t="str">
        <f aca="false">IF(AND(K40&lt;&gt;"",J40&lt;&gt;""),K40*J40,"")</f>
        <v/>
      </c>
      <c r="M40" s="8" t="str">
        <f aca="false">IF(AND(F40&lt;&gt;"",G40&lt;&gt;"",H40&lt;&gt;""),IF(E40="Long",(H40-F40)/(F40-G40),(F40-H40)/(G40-F40)),"")</f>
        <v/>
      </c>
      <c r="N40" s="8" t="str">
        <f aca="false">IF(AND(F40&lt;&gt;"",G40&lt;&gt;"",I40&lt;&gt;""),IF(E40="Long",(I40-F40)/(F40-G40),(F40-I40)/(G40-F40)),"")</f>
        <v/>
      </c>
      <c r="O40" s="4" t="str">
        <f aca="false">IF(L40="","",IF(L40&gt;0,"Win",IF(L40&lt;0,"Loss","Break Even")))</f>
        <v/>
      </c>
      <c r="P40" s="4"/>
      <c r="Q40" s="4"/>
      <c r="R40" s="4"/>
    </row>
    <row r="41" customFormat="false" ht="15" hidden="false" customHeight="false" outlineLevel="0" collapsed="false">
      <c r="A41" s="9" t="str">
        <f aca="false">IF(B41&lt;&gt;"",ROW()-3,"")</f>
        <v/>
      </c>
      <c r="B41" s="10"/>
      <c r="C41" s="9" t="str">
        <f aca="false">IF(B41&lt;&gt;"",TEXT(B41,"DDDD"),"")</f>
        <v/>
      </c>
      <c r="D41" s="9"/>
      <c r="E41" s="9"/>
      <c r="F41" s="9"/>
      <c r="G41" s="9"/>
      <c r="H41" s="9"/>
      <c r="I41" s="9"/>
      <c r="J41" s="9"/>
      <c r="K41" s="11" t="str">
        <f aca="false">IF(AND(B41&lt;&gt;"",I41&lt;&gt;"",F41&lt;&gt;""),IF(E41="Long",(I41-F41)*20,(F41-I41)*20),"")</f>
        <v/>
      </c>
      <c r="L41" s="12" t="str">
        <f aca="false">IF(AND(K41&lt;&gt;"",J41&lt;&gt;""),K41*J41,"")</f>
        <v/>
      </c>
      <c r="M41" s="13" t="str">
        <f aca="false">IF(AND(F41&lt;&gt;"",G41&lt;&gt;"",H41&lt;&gt;""),IF(E41="Long",(H41-F41)/(F41-G41),(F41-H41)/(G41-F41)),"")</f>
        <v/>
      </c>
      <c r="N41" s="13" t="str">
        <f aca="false">IF(AND(F41&lt;&gt;"",G41&lt;&gt;"",I41&lt;&gt;""),IF(E41="Long",(I41-F41)/(F41-G41),(F41-I41)/(G41-F41)),"")</f>
        <v/>
      </c>
      <c r="O41" s="9" t="str">
        <f aca="false">IF(L41="","",IF(L41&gt;0,"Win",IF(L41&lt;0,"Loss","Break Even")))</f>
        <v/>
      </c>
      <c r="P41" s="9"/>
      <c r="Q41" s="9"/>
      <c r="R41" s="9"/>
    </row>
    <row r="42" customFormat="false" ht="15" hidden="false" customHeight="false" outlineLevel="0" collapsed="false">
      <c r="A42" s="4" t="str">
        <f aca="false">IF(B42&lt;&gt;"",ROW()-3,"")</f>
        <v/>
      </c>
      <c r="B42" s="5"/>
      <c r="C42" s="4" t="str">
        <f aca="false">IF(B42&lt;&gt;"",TEXT(B42,"DDDD"),"")</f>
        <v/>
      </c>
      <c r="D42" s="4"/>
      <c r="E42" s="4"/>
      <c r="F42" s="4"/>
      <c r="G42" s="4"/>
      <c r="H42" s="4"/>
      <c r="I42" s="4"/>
      <c r="J42" s="4"/>
      <c r="K42" s="6" t="str">
        <f aca="false">IF(AND(B42&lt;&gt;"",I42&lt;&gt;"",F42&lt;&gt;""),IF(E42="Long",(I42-F42)*20,(F42-I42)*20),"")</f>
        <v/>
      </c>
      <c r="L42" s="7" t="str">
        <f aca="false">IF(AND(K42&lt;&gt;"",J42&lt;&gt;""),K42*J42,"")</f>
        <v/>
      </c>
      <c r="M42" s="8" t="str">
        <f aca="false">IF(AND(F42&lt;&gt;"",G42&lt;&gt;"",H42&lt;&gt;""),IF(E42="Long",(H42-F42)/(F42-G42),(F42-H42)/(G42-F42)),"")</f>
        <v/>
      </c>
      <c r="N42" s="8" t="str">
        <f aca="false">IF(AND(F42&lt;&gt;"",G42&lt;&gt;"",I42&lt;&gt;""),IF(E42="Long",(I42-F42)/(F42-G42),(F42-I42)/(G42-F42)),"")</f>
        <v/>
      </c>
      <c r="O42" s="4" t="str">
        <f aca="false">IF(L42="","",IF(L42&gt;0,"Win",IF(L42&lt;0,"Loss","Break Even")))</f>
        <v/>
      </c>
      <c r="P42" s="4"/>
      <c r="Q42" s="4"/>
      <c r="R42" s="4"/>
    </row>
    <row r="43" customFormat="false" ht="15" hidden="false" customHeight="false" outlineLevel="0" collapsed="false">
      <c r="A43" s="9" t="str">
        <f aca="false">IF(B43&lt;&gt;"",ROW()-3,"")</f>
        <v/>
      </c>
      <c r="B43" s="10"/>
      <c r="C43" s="9" t="str">
        <f aca="false">IF(B43&lt;&gt;"",TEXT(B43,"DDDD"),"")</f>
        <v/>
      </c>
      <c r="D43" s="9"/>
      <c r="E43" s="9"/>
      <c r="F43" s="9"/>
      <c r="G43" s="9"/>
      <c r="H43" s="9"/>
      <c r="I43" s="9"/>
      <c r="J43" s="9"/>
      <c r="K43" s="11" t="str">
        <f aca="false">IF(AND(B43&lt;&gt;"",I43&lt;&gt;"",F43&lt;&gt;""),IF(E43="Long",(I43-F43)*20,(F43-I43)*20),"")</f>
        <v/>
      </c>
      <c r="L43" s="12" t="str">
        <f aca="false">IF(AND(K43&lt;&gt;"",J43&lt;&gt;""),K43*J43,"")</f>
        <v/>
      </c>
      <c r="M43" s="13" t="str">
        <f aca="false">IF(AND(F43&lt;&gt;"",G43&lt;&gt;"",H43&lt;&gt;""),IF(E43="Long",(H43-F43)/(F43-G43),(F43-H43)/(G43-F43)),"")</f>
        <v/>
      </c>
      <c r="N43" s="13" t="str">
        <f aca="false">IF(AND(F43&lt;&gt;"",G43&lt;&gt;"",I43&lt;&gt;""),IF(E43="Long",(I43-F43)/(F43-G43),(F43-I43)/(G43-F43)),"")</f>
        <v/>
      </c>
      <c r="O43" s="9" t="str">
        <f aca="false">IF(L43="","",IF(L43&gt;0,"Win",IF(L43&lt;0,"Loss","Break Even")))</f>
        <v/>
      </c>
      <c r="P43" s="9"/>
      <c r="Q43" s="9"/>
      <c r="R43" s="9"/>
    </row>
    <row r="44" customFormat="false" ht="15" hidden="false" customHeight="false" outlineLevel="0" collapsed="false">
      <c r="A44" s="4" t="str">
        <f aca="false">IF(B44&lt;&gt;"",ROW()-3,"")</f>
        <v/>
      </c>
      <c r="B44" s="5"/>
      <c r="C44" s="4" t="str">
        <f aca="false">IF(B44&lt;&gt;"",TEXT(B44,"DDDD"),"")</f>
        <v/>
      </c>
      <c r="D44" s="4"/>
      <c r="E44" s="4"/>
      <c r="F44" s="4"/>
      <c r="G44" s="4"/>
      <c r="H44" s="4"/>
      <c r="I44" s="4"/>
      <c r="J44" s="4"/>
      <c r="K44" s="6" t="str">
        <f aca="false">IF(AND(B44&lt;&gt;"",I44&lt;&gt;"",F44&lt;&gt;""),IF(E44="Long",(I44-F44)*20,(F44-I44)*20),"")</f>
        <v/>
      </c>
      <c r="L44" s="7" t="str">
        <f aca="false">IF(AND(K44&lt;&gt;"",J44&lt;&gt;""),K44*J44,"")</f>
        <v/>
      </c>
      <c r="M44" s="8" t="str">
        <f aca="false">IF(AND(F44&lt;&gt;"",G44&lt;&gt;"",H44&lt;&gt;""),IF(E44="Long",(H44-F44)/(F44-G44),(F44-H44)/(G44-F44)),"")</f>
        <v/>
      </c>
      <c r="N44" s="8" t="str">
        <f aca="false">IF(AND(F44&lt;&gt;"",G44&lt;&gt;"",I44&lt;&gt;""),IF(E44="Long",(I44-F44)/(F44-G44),(F44-I44)/(G44-F44)),"")</f>
        <v/>
      </c>
      <c r="O44" s="4" t="str">
        <f aca="false">IF(L44="","",IF(L44&gt;0,"Win",IF(L44&lt;0,"Loss","Break Even")))</f>
        <v/>
      </c>
      <c r="P44" s="4"/>
      <c r="Q44" s="4"/>
      <c r="R44" s="4"/>
    </row>
    <row r="45" customFormat="false" ht="15" hidden="false" customHeight="false" outlineLevel="0" collapsed="false">
      <c r="A45" s="9" t="str">
        <f aca="false">IF(B45&lt;&gt;"",ROW()-3,"")</f>
        <v/>
      </c>
      <c r="B45" s="10"/>
      <c r="C45" s="9" t="str">
        <f aca="false">IF(B45&lt;&gt;"",TEXT(B45,"DDDD"),"")</f>
        <v/>
      </c>
      <c r="D45" s="9"/>
      <c r="E45" s="9"/>
      <c r="F45" s="9"/>
      <c r="G45" s="9"/>
      <c r="H45" s="9"/>
      <c r="I45" s="9"/>
      <c r="J45" s="9"/>
      <c r="K45" s="11" t="str">
        <f aca="false">IF(AND(B45&lt;&gt;"",I45&lt;&gt;"",F45&lt;&gt;""),IF(E45="Long",(I45-F45)*20,(F45-I45)*20),"")</f>
        <v/>
      </c>
      <c r="L45" s="12" t="str">
        <f aca="false">IF(AND(K45&lt;&gt;"",J45&lt;&gt;""),K45*J45,"")</f>
        <v/>
      </c>
      <c r="M45" s="13" t="str">
        <f aca="false">IF(AND(F45&lt;&gt;"",G45&lt;&gt;"",H45&lt;&gt;""),IF(E45="Long",(H45-F45)/(F45-G45),(F45-H45)/(G45-F45)),"")</f>
        <v/>
      </c>
      <c r="N45" s="13" t="str">
        <f aca="false">IF(AND(F45&lt;&gt;"",G45&lt;&gt;"",I45&lt;&gt;""),IF(E45="Long",(I45-F45)/(F45-G45),(F45-I45)/(G45-F45)),"")</f>
        <v/>
      </c>
      <c r="O45" s="9" t="str">
        <f aca="false">IF(L45="","",IF(L45&gt;0,"Win",IF(L45&lt;0,"Loss","Break Even")))</f>
        <v/>
      </c>
      <c r="P45" s="9"/>
      <c r="Q45" s="9"/>
      <c r="R45" s="9"/>
    </row>
    <row r="46" customFormat="false" ht="15" hidden="false" customHeight="false" outlineLevel="0" collapsed="false">
      <c r="A46" s="4" t="str">
        <f aca="false">IF(B46&lt;&gt;"",ROW()-3,"")</f>
        <v/>
      </c>
      <c r="B46" s="5"/>
      <c r="C46" s="4" t="str">
        <f aca="false">IF(B46&lt;&gt;"",TEXT(B46,"DDDD"),"")</f>
        <v/>
      </c>
      <c r="D46" s="4"/>
      <c r="E46" s="4"/>
      <c r="F46" s="4"/>
      <c r="G46" s="4"/>
      <c r="H46" s="4"/>
      <c r="I46" s="4"/>
      <c r="J46" s="4"/>
      <c r="K46" s="6" t="str">
        <f aca="false">IF(AND(B46&lt;&gt;"",I46&lt;&gt;"",F46&lt;&gt;""),IF(E46="Long",(I46-F46)*20,(F46-I46)*20),"")</f>
        <v/>
      </c>
      <c r="L46" s="7" t="str">
        <f aca="false">IF(AND(K46&lt;&gt;"",J46&lt;&gt;""),K46*J46,"")</f>
        <v/>
      </c>
      <c r="M46" s="8" t="str">
        <f aca="false">IF(AND(F46&lt;&gt;"",G46&lt;&gt;"",H46&lt;&gt;""),IF(E46="Long",(H46-F46)/(F46-G46),(F46-H46)/(G46-F46)),"")</f>
        <v/>
      </c>
      <c r="N46" s="8" t="str">
        <f aca="false">IF(AND(F46&lt;&gt;"",G46&lt;&gt;"",I46&lt;&gt;""),IF(E46="Long",(I46-F46)/(F46-G46),(F46-I46)/(G46-F46)),"")</f>
        <v/>
      </c>
      <c r="O46" s="4" t="str">
        <f aca="false">IF(L46="","",IF(L46&gt;0,"Win",IF(L46&lt;0,"Loss","Break Even")))</f>
        <v/>
      </c>
      <c r="P46" s="4"/>
      <c r="Q46" s="4"/>
      <c r="R46" s="4"/>
    </row>
    <row r="47" customFormat="false" ht="15" hidden="false" customHeight="false" outlineLevel="0" collapsed="false">
      <c r="A47" s="9" t="str">
        <f aca="false">IF(B47&lt;&gt;"",ROW()-3,"")</f>
        <v/>
      </c>
      <c r="B47" s="10"/>
      <c r="C47" s="9" t="str">
        <f aca="false">IF(B47&lt;&gt;"",TEXT(B47,"DDDD"),"")</f>
        <v/>
      </c>
      <c r="D47" s="9"/>
      <c r="E47" s="9"/>
      <c r="F47" s="9"/>
      <c r="G47" s="9"/>
      <c r="H47" s="9"/>
      <c r="I47" s="9"/>
      <c r="J47" s="9"/>
      <c r="K47" s="11" t="str">
        <f aca="false">IF(AND(B47&lt;&gt;"",I47&lt;&gt;"",F47&lt;&gt;""),IF(E47="Long",(I47-F47)*20,(F47-I47)*20),"")</f>
        <v/>
      </c>
      <c r="L47" s="12" t="str">
        <f aca="false">IF(AND(K47&lt;&gt;"",J47&lt;&gt;""),K47*J47,"")</f>
        <v/>
      </c>
      <c r="M47" s="13" t="str">
        <f aca="false">IF(AND(F47&lt;&gt;"",G47&lt;&gt;"",H47&lt;&gt;""),IF(E47="Long",(H47-F47)/(F47-G47),(F47-H47)/(G47-F47)),"")</f>
        <v/>
      </c>
      <c r="N47" s="13" t="str">
        <f aca="false">IF(AND(F47&lt;&gt;"",G47&lt;&gt;"",I47&lt;&gt;""),IF(E47="Long",(I47-F47)/(F47-G47),(F47-I47)/(G47-F47)),"")</f>
        <v/>
      </c>
      <c r="O47" s="9" t="str">
        <f aca="false">IF(L47="","",IF(L47&gt;0,"Win",IF(L47&lt;0,"Loss","Break Even")))</f>
        <v/>
      </c>
      <c r="P47" s="9"/>
      <c r="Q47" s="9"/>
      <c r="R47" s="9"/>
    </row>
    <row r="48" customFormat="false" ht="15" hidden="false" customHeight="false" outlineLevel="0" collapsed="false">
      <c r="A48" s="4" t="str">
        <f aca="false">IF(B48&lt;&gt;"",ROW()-3,"")</f>
        <v/>
      </c>
      <c r="B48" s="5"/>
      <c r="C48" s="4" t="str">
        <f aca="false">IF(B48&lt;&gt;"",TEXT(B48,"DDDD"),"")</f>
        <v/>
      </c>
      <c r="D48" s="4"/>
      <c r="E48" s="4"/>
      <c r="F48" s="4"/>
      <c r="G48" s="4"/>
      <c r="H48" s="4"/>
      <c r="I48" s="4"/>
      <c r="J48" s="4"/>
      <c r="K48" s="6" t="str">
        <f aca="false">IF(AND(B48&lt;&gt;"",I48&lt;&gt;"",F48&lt;&gt;""),IF(E48="Long",(I48-F48)*20,(F48-I48)*20),"")</f>
        <v/>
      </c>
      <c r="L48" s="7" t="str">
        <f aca="false">IF(AND(K48&lt;&gt;"",J48&lt;&gt;""),K48*J48,"")</f>
        <v/>
      </c>
      <c r="M48" s="8" t="str">
        <f aca="false">IF(AND(F48&lt;&gt;"",G48&lt;&gt;"",H48&lt;&gt;""),IF(E48="Long",(H48-F48)/(F48-G48),(F48-H48)/(G48-F48)),"")</f>
        <v/>
      </c>
      <c r="N48" s="8" t="str">
        <f aca="false">IF(AND(F48&lt;&gt;"",G48&lt;&gt;"",I48&lt;&gt;""),IF(E48="Long",(I48-F48)/(F48-G48),(F48-I48)/(G48-F48)),"")</f>
        <v/>
      </c>
      <c r="O48" s="4" t="str">
        <f aca="false">IF(L48="","",IF(L48&gt;0,"Win",IF(L48&lt;0,"Loss","Break Even")))</f>
        <v/>
      </c>
      <c r="P48" s="4"/>
      <c r="Q48" s="4"/>
      <c r="R48" s="4"/>
    </row>
    <row r="49" customFormat="false" ht="15" hidden="false" customHeight="false" outlineLevel="0" collapsed="false">
      <c r="A49" s="9" t="str">
        <f aca="false">IF(B49&lt;&gt;"",ROW()-3,"")</f>
        <v/>
      </c>
      <c r="B49" s="10"/>
      <c r="C49" s="9" t="str">
        <f aca="false">IF(B49&lt;&gt;"",TEXT(B49,"DDDD"),"")</f>
        <v/>
      </c>
      <c r="D49" s="9"/>
      <c r="E49" s="9"/>
      <c r="F49" s="9"/>
      <c r="G49" s="9"/>
      <c r="H49" s="9"/>
      <c r="I49" s="9"/>
      <c r="J49" s="9"/>
      <c r="K49" s="11" t="str">
        <f aca="false">IF(AND(B49&lt;&gt;"",I49&lt;&gt;"",F49&lt;&gt;""),IF(E49="Long",(I49-F49)*20,(F49-I49)*20),"")</f>
        <v/>
      </c>
      <c r="L49" s="12" t="str">
        <f aca="false">IF(AND(K49&lt;&gt;"",J49&lt;&gt;""),K49*J49,"")</f>
        <v/>
      </c>
      <c r="M49" s="13" t="str">
        <f aca="false">IF(AND(F49&lt;&gt;"",G49&lt;&gt;"",H49&lt;&gt;""),IF(E49="Long",(H49-F49)/(F49-G49),(F49-H49)/(G49-F49)),"")</f>
        <v/>
      </c>
      <c r="N49" s="13" t="str">
        <f aca="false">IF(AND(F49&lt;&gt;"",G49&lt;&gt;"",I49&lt;&gt;""),IF(E49="Long",(I49-F49)/(F49-G49),(F49-I49)/(G49-F49)),"")</f>
        <v/>
      </c>
      <c r="O49" s="9" t="str">
        <f aca="false">IF(L49="","",IF(L49&gt;0,"Win",IF(L49&lt;0,"Loss","Break Even")))</f>
        <v/>
      </c>
      <c r="P49" s="9"/>
      <c r="Q49" s="9"/>
      <c r="R49" s="9"/>
    </row>
    <row r="50" customFormat="false" ht="15" hidden="false" customHeight="false" outlineLevel="0" collapsed="false">
      <c r="A50" s="4" t="str">
        <f aca="false">IF(B50&lt;&gt;"",ROW()-3,"")</f>
        <v/>
      </c>
      <c r="B50" s="5"/>
      <c r="C50" s="4" t="str">
        <f aca="false">IF(B50&lt;&gt;"",TEXT(B50,"DDDD"),"")</f>
        <v/>
      </c>
      <c r="D50" s="4"/>
      <c r="E50" s="4"/>
      <c r="F50" s="4"/>
      <c r="G50" s="4"/>
      <c r="H50" s="4"/>
      <c r="I50" s="4"/>
      <c r="J50" s="4"/>
      <c r="K50" s="6" t="str">
        <f aca="false">IF(AND(B50&lt;&gt;"",I50&lt;&gt;"",F50&lt;&gt;""),IF(E50="Long",(I50-F50)*20,(F50-I50)*20),"")</f>
        <v/>
      </c>
      <c r="L50" s="7" t="str">
        <f aca="false">IF(AND(K50&lt;&gt;"",J50&lt;&gt;""),K50*J50,"")</f>
        <v/>
      </c>
      <c r="M50" s="8" t="str">
        <f aca="false">IF(AND(F50&lt;&gt;"",G50&lt;&gt;"",H50&lt;&gt;""),IF(E50="Long",(H50-F50)/(F50-G50),(F50-H50)/(G50-F50)),"")</f>
        <v/>
      </c>
      <c r="N50" s="8" t="str">
        <f aca="false">IF(AND(F50&lt;&gt;"",G50&lt;&gt;"",I50&lt;&gt;""),IF(E50="Long",(I50-F50)/(F50-G50),(F50-I50)/(G50-F50)),"")</f>
        <v/>
      </c>
      <c r="O50" s="4" t="str">
        <f aca="false">IF(L50="","",IF(L50&gt;0,"Win",IF(L50&lt;0,"Loss","Break Even")))</f>
        <v/>
      </c>
      <c r="P50" s="4"/>
      <c r="Q50" s="4"/>
      <c r="R50" s="4"/>
    </row>
    <row r="51" customFormat="false" ht="15" hidden="false" customHeight="false" outlineLevel="0" collapsed="false">
      <c r="A51" s="9" t="str">
        <f aca="false">IF(B51&lt;&gt;"",ROW()-3,"")</f>
        <v/>
      </c>
      <c r="B51" s="10"/>
      <c r="C51" s="9" t="str">
        <f aca="false">IF(B51&lt;&gt;"",TEXT(B51,"DDDD"),"")</f>
        <v/>
      </c>
      <c r="D51" s="9"/>
      <c r="E51" s="9"/>
      <c r="F51" s="9"/>
      <c r="G51" s="9"/>
      <c r="H51" s="9"/>
      <c r="I51" s="9"/>
      <c r="J51" s="9"/>
      <c r="K51" s="11" t="str">
        <f aca="false">IF(AND(B51&lt;&gt;"",I51&lt;&gt;"",F51&lt;&gt;""),IF(E51="Long",(I51-F51)*20,(F51-I51)*20),"")</f>
        <v/>
      </c>
      <c r="L51" s="12" t="str">
        <f aca="false">IF(AND(K51&lt;&gt;"",J51&lt;&gt;""),K51*J51,"")</f>
        <v/>
      </c>
      <c r="M51" s="13" t="str">
        <f aca="false">IF(AND(F51&lt;&gt;"",G51&lt;&gt;"",H51&lt;&gt;""),IF(E51="Long",(H51-F51)/(F51-G51),(F51-H51)/(G51-F51)),"")</f>
        <v/>
      </c>
      <c r="N51" s="13" t="str">
        <f aca="false">IF(AND(F51&lt;&gt;"",G51&lt;&gt;"",I51&lt;&gt;""),IF(E51="Long",(I51-F51)/(F51-G51),(F51-I51)/(G51-F51)),"")</f>
        <v/>
      </c>
      <c r="O51" s="9" t="str">
        <f aca="false">IF(L51="","",IF(L51&gt;0,"Win",IF(L51&lt;0,"Loss","Break Even")))</f>
        <v/>
      </c>
      <c r="P51" s="9"/>
      <c r="Q51" s="9"/>
      <c r="R51" s="9"/>
    </row>
    <row r="52" customFormat="false" ht="15" hidden="false" customHeight="false" outlineLevel="0" collapsed="false">
      <c r="A52" s="4" t="str">
        <f aca="false">IF(B52&lt;&gt;"",ROW()-3,"")</f>
        <v/>
      </c>
      <c r="B52" s="5"/>
      <c r="C52" s="4" t="str">
        <f aca="false">IF(B52&lt;&gt;"",TEXT(B52,"DDDD"),"")</f>
        <v/>
      </c>
      <c r="D52" s="4"/>
      <c r="E52" s="4"/>
      <c r="F52" s="4"/>
      <c r="G52" s="4"/>
      <c r="H52" s="4"/>
      <c r="I52" s="4"/>
      <c r="J52" s="4"/>
      <c r="K52" s="6" t="str">
        <f aca="false">IF(AND(B52&lt;&gt;"",I52&lt;&gt;"",F52&lt;&gt;""),IF(E52="Long",(I52-F52)*20,(F52-I52)*20),"")</f>
        <v/>
      </c>
      <c r="L52" s="7" t="str">
        <f aca="false">IF(AND(K52&lt;&gt;"",J52&lt;&gt;""),K52*J52,"")</f>
        <v/>
      </c>
      <c r="M52" s="8" t="str">
        <f aca="false">IF(AND(F52&lt;&gt;"",G52&lt;&gt;"",H52&lt;&gt;""),IF(E52="Long",(H52-F52)/(F52-G52),(F52-H52)/(G52-F52)),"")</f>
        <v/>
      </c>
      <c r="N52" s="8" t="str">
        <f aca="false">IF(AND(F52&lt;&gt;"",G52&lt;&gt;"",I52&lt;&gt;""),IF(E52="Long",(I52-F52)/(F52-G52),(F52-I52)/(G52-F52)),"")</f>
        <v/>
      </c>
      <c r="O52" s="4" t="str">
        <f aca="false">IF(L52="","",IF(L52&gt;0,"Win",IF(L52&lt;0,"Loss","Break Even")))</f>
        <v/>
      </c>
      <c r="P52" s="4"/>
      <c r="Q52" s="4"/>
      <c r="R52" s="4"/>
    </row>
    <row r="53" customFormat="false" ht="15" hidden="false" customHeight="false" outlineLevel="0" collapsed="false">
      <c r="A53" s="9" t="str">
        <f aca="false">IF(B53&lt;&gt;"",ROW()-3,"")</f>
        <v/>
      </c>
      <c r="B53" s="10"/>
      <c r="C53" s="9" t="str">
        <f aca="false">IF(B53&lt;&gt;"",TEXT(B53,"DDDD"),"")</f>
        <v/>
      </c>
      <c r="D53" s="9"/>
      <c r="E53" s="9"/>
      <c r="F53" s="9"/>
      <c r="G53" s="9"/>
      <c r="H53" s="9"/>
      <c r="I53" s="9"/>
      <c r="J53" s="9"/>
      <c r="K53" s="11" t="str">
        <f aca="false">IF(AND(B53&lt;&gt;"",I53&lt;&gt;"",F53&lt;&gt;""),IF(E53="Long",(I53-F53)*20,(F53-I53)*20),"")</f>
        <v/>
      </c>
      <c r="L53" s="12" t="str">
        <f aca="false">IF(AND(K53&lt;&gt;"",J53&lt;&gt;""),K53*J53,"")</f>
        <v/>
      </c>
      <c r="M53" s="13" t="str">
        <f aca="false">IF(AND(F53&lt;&gt;"",G53&lt;&gt;"",H53&lt;&gt;""),IF(E53="Long",(H53-F53)/(F53-G53),(F53-H53)/(G53-F53)),"")</f>
        <v/>
      </c>
      <c r="N53" s="13" t="str">
        <f aca="false">IF(AND(F53&lt;&gt;"",G53&lt;&gt;"",I53&lt;&gt;""),IF(E53="Long",(I53-F53)/(F53-G53),(F53-I53)/(G53-F53)),"")</f>
        <v/>
      </c>
      <c r="O53" s="9" t="str">
        <f aca="false">IF(L53="","",IF(L53&gt;0,"Win",IF(L53&lt;0,"Loss","Break Even")))</f>
        <v/>
      </c>
      <c r="P53" s="9"/>
      <c r="Q53" s="9"/>
      <c r="R53" s="9"/>
    </row>
    <row r="54" customFormat="false" ht="15" hidden="false" customHeight="false" outlineLevel="0" collapsed="false">
      <c r="A54" s="4" t="str">
        <f aca="false">IF(B54&lt;&gt;"",ROW()-3,"")</f>
        <v/>
      </c>
      <c r="B54" s="5"/>
      <c r="C54" s="4" t="str">
        <f aca="false">IF(B54&lt;&gt;"",TEXT(B54,"DDDD"),"")</f>
        <v/>
      </c>
      <c r="D54" s="4"/>
      <c r="E54" s="4"/>
      <c r="F54" s="4"/>
      <c r="G54" s="4"/>
      <c r="H54" s="4"/>
      <c r="I54" s="4"/>
      <c r="J54" s="4"/>
      <c r="K54" s="6" t="str">
        <f aca="false">IF(AND(B54&lt;&gt;"",I54&lt;&gt;"",F54&lt;&gt;""),IF(E54="Long",(I54-F54)*20,(F54-I54)*20),"")</f>
        <v/>
      </c>
      <c r="L54" s="7" t="str">
        <f aca="false">IF(AND(K54&lt;&gt;"",J54&lt;&gt;""),K54*J54,"")</f>
        <v/>
      </c>
      <c r="M54" s="8" t="str">
        <f aca="false">IF(AND(F54&lt;&gt;"",G54&lt;&gt;"",H54&lt;&gt;""),IF(E54="Long",(H54-F54)/(F54-G54),(F54-H54)/(G54-F54)),"")</f>
        <v/>
      </c>
      <c r="N54" s="8" t="str">
        <f aca="false">IF(AND(F54&lt;&gt;"",G54&lt;&gt;"",I54&lt;&gt;""),IF(E54="Long",(I54-F54)/(F54-G54),(F54-I54)/(G54-F54)),"")</f>
        <v/>
      </c>
      <c r="O54" s="4" t="str">
        <f aca="false">IF(L54="","",IF(L54&gt;0,"Win",IF(L54&lt;0,"Loss","Break Even")))</f>
        <v/>
      </c>
      <c r="P54" s="4"/>
      <c r="Q54" s="4"/>
      <c r="R54" s="4"/>
    </row>
    <row r="55" customFormat="false" ht="15" hidden="false" customHeight="false" outlineLevel="0" collapsed="false">
      <c r="A55" s="9" t="str">
        <f aca="false">IF(B55&lt;&gt;"",ROW()-3,"")</f>
        <v/>
      </c>
      <c r="B55" s="10"/>
      <c r="C55" s="9" t="str">
        <f aca="false">IF(B55&lt;&gt;"",TEXT(B55,"DDDD"),"")</f>
        <v/>
      </c>
      <c r="D55" s="9"/>
      <c r="E55" s="9"/>
      <c r="F55" s="9"/>
      <c r="G55" s="9"/>
      <c r="H55" s="9"/>
      <c r="I55" s="9"/>
      <c r="J55" s="9"/>
      <c r="K55" s="11" t="str">
        <f aca="false">IF(AND(B55&lt;&gt;"",I55&lt;&gt;"",F55&lt;&gt;""),IF(E55="Long",(I55-F55)*20,(F55-I55)*20),"")</f>
        <v/>
      </c>
      <c r="L55" s="12" t="str">
        <f aca="false">IF(AND(K55&lt;&gt;"",J55&lt;&gt;""),K55*J55,"")</f>
        <v/>
      </c>
      <c r="M55" s="13" t="str">
        <f aca="false">IF(AND(F55&lt;&gt;"",G55&lt;&gt;"",H55&lt;&gt;""),IF(E55="Long",(H55-F55)/(F55-G55),(F55-H55)/(G55-F55)),"")</f>
        <v/>
      </c>
      <c r="N55" s="13" t="str">
        <f aca="false">IF(AND(F55&lt;&gt;"",G55&lt;&gt;"",I55&lt;&gt;""),IF(E55="Long",(I55-F55)/(F55-G55),(F55-I55)/(G55-F55)),"")</f>
        <v/>
      </c>
      <c r="O55" s="9" t="str">
        <f aca="false">IF(L55="","",IF(L55&gt;0,"Win",IF(L55&lt;0,"Loss","Break Even")))</f>
        <v/>
      </c>
      <c r="P55" s="9"/>
      <c r="Q55" s="9"/>
      <c r="R55" s="9"/>
    </row>
    <row r="56" customFormat="false" ht="15" hidden="false" customHeight="false" outlineLevel="0" collapsed="false">
      <c r="A56" s="4" t="str">
        <f aca="false">IF(B56&lt;&gt;"",ROW()-3,"")</f>
        <v/>
      </c>
      <c r="B56" s="5"/>
      <c r="C56" s="4" t="str">
        <f aca="false">IF(B56&lt;&gt;"",TEXT(B56,"DDDD"),"")</f>
        <v/>
      </c>
      <c r="D56" s="4"/>
      <c r="E56" s="4"/>
      <c r="F56" s="4"/>
      <c r="G56" s="4"/>
      <c r="H56" s="4"/>
      <c r="I56" s="4"/>
      <c r="J56" s="4"/>
      <c r="K56" s="6" t="str">
        <f aca="false">IF(AND(B56&lt;&gt;"",I56&lt;&gt;"",F56&lt;&gt;""),IF(E56="Long",(I56-F56)*20,(F56-I56)*20),"")</f>
        <v/>
      </c>
      <c r="L56" s="7" t="str">
        <f aca="false">IF(AND(K56&lt;&gt;"",J56&lt;&gt;""),K56*J56,"")</f>
        <v/>
      </c>
      <c r="M56" s="8" t="str">
        <f aca="false">IF(AND(F56&lt;&gt;"",G56&lt;&gt;"",H56&lt;&gt;""),IF(E56="Long",(H56-F56)/(F56-G56),(F56-H56)/(G56-F56)),"")</f>
        <v/>
      </c>
      <c r="N56" s="8" t="str">
        <f aca="false">IF(AND(F56&lt;&gt;"",G56&lt;&gt;"",I56&lt;&gt;""),IF(E56="Long",(I56-F56)/(F56-G56),(F56-I56)/(G56-F56)),"")</f>
        <v/>
      </c>
      <c r="O56" s="4" t="str">
        <f aca="false">IF(L56="","",IF(L56&gt;0,"Win",IF(L56&lt;0,"Loss","Break Even")))</f>
        <v/>
      </c>
      <c r="P56" s="4"/>
      <c r="Q56" s="4"/>
      <c r="R56" s="4"/>
    </row>
    <row r="57" customFormat="false" ht="15" hidden="false" customHeight="false" outlineLevel="0" collapsed="false">
      <c r="A57" s="9" t="str">
        <f aca="false">IF(B57&lt;&gt;"",ROW()-3,"")</f>
        <v/>
      </c>
      <c r="B57" s="10"/>
      <c r="C57" s="9" t="str">
        <f aca="false">IF(B57&lt;&gt;"",TEXT(B57,"DDDD"),"")</f>
        <v/>
      </c>
      <c r="D57" s="9"/>
      <c r="E57" s="9"/>
      <c r="F57" s="9"/>
      <c r="G57" s="9"/>
      <c r="H57" s="9"/>
      <c r="I57" s="9"/>
      <c r="J57" s="9"/>
      <c r="K57" s="11" t="str">
        <f aca="false">IF(AND(B57&lt;&gt;"",I57&lt;&gt;"",F57&lt;&gt;""),IF(E57="Long",(I57-F57)*20,(F57-I57)*20),"")</f>
        <v/>
      </c>
      <c r="L57" s="12" t="str">
        <f aca="false">IF(AND(K57&lt;&gt;"",J57&lt;&gt;""),K57*J57,"")</f>
        <v/>
      </c>
      <c r="M57" s="13" t="str">
        <f aca="false">IF(AND(F57&lt;&gt;"",G57&lt;&gt;"",H57&lt;&gt;""),IF(E57="Long",(H57-F57)/(F57-G57),(F57-H57)/(G57-F57)),"")</f>
        <v/>
      </c>
      <c r="N57" s="13" t="str">
        <f aca="false">IF(AND(F57&lt;&gt;"",G57&lt;&gt;"",I57&lt;&gt;""),IF(E57="Long",(I57-F57)/(F57-G57),(F57-I57)/(G57-F57)),"")</f>
        <v/>
      </c>
      <c r="O57" s="9" t="str">
        <f aca="false">IF(L57="","",IF(L57&gt;0,"Win",IF(L57&lt;0,"Loss","Break Even")))</f>
        <v/>
      </c>
      <c r="P57" s="9"/>
      <c r="Q57" s="9"/>
      <c r="R57" s="9"/>
    </row>
    <row r="58" customFormat="false" ht="15" hidden="false" customHeight="false" outlineLevel="0" collapsed="false">
      <c r="A58" s="4" t="str">
        <f aca="false">IF(B58&lt;&gt;"",ROW()-3,"")</f>
        <v/>
      </c>
      <c r="B58" s="5"/>
      <c r="C58" s="4" t="str">
        <f aca="false">IF(B58&lt;&gt;"",TEXT(B58,"DDDD"),"")</f>
        <v/>
      </c>
      <c r="D58" s="4"/>
      <c r="E58" s="4"/>
      <c r="F58" s="4"/>
      <c r="G58" s="4"/>
      <c r="H58" s="4"/>
      <c r="I58" s="4"/>
      <c r="J58" s="4"/>
      <c r="K58" s="6" t="str">
        <f aca="false">IF(AND(B58&lt;&gt;"",I58&lt;&gt;"",F58&lt;&gt;""),IF(E58="Long",(I58-F58)*20,(F58-I58)*20),"")</f>
        <v/>
      </c>
      <c r="L58" s="7" t="str">
        <f aca="false">IF(AND(K58&lt;&gt;"",J58&lt;&gt;""),K58*J58,"")</f>
        <v/>
      </c>
      <c r="M58" s="8" t="str">
        <f aca="false">IF(AND(F58&lt;&gt;"",G58&lt;&gt;"",H58&lt;&gt;""),IF(E58="Long",(H58-F58)/(F58-G58),(F58-H58)/(G58-F58)),"")</f>
        <v/>
      </c>
      <c r="N58" s="8" t="str">
        <f aca="false">IF(AND(F58&lt;&gt;"",G58&lt;&gt;"",I58&lt;&gt;""),IF(E58="Long",(I58-F58)/(F58-G58),(F58-I58)/(G58-F58)),"")</f>
        <v/>
      </c>
      <c r="O58" s="4" t="str">
        <f aca="false">IF(L58="","",IF(L58&gt;0,"Win",IF(L58&lt;0,"Loss","Break Even")))</f>
        <v/>
      </c>
      <c r="P58" s="4"/>
      <c r="Q58" s="4"/>
      <c r="R58" s="4"/>
    </row>
    <row r="59" customFormat="false" ht="15" hidden="false" customHeight="false" outlineLevel="0" collapsed="false">
      <c r="A59" s="9" t="str">
        <f aca="false">IF(B59&lt;&gt;"",ROW()-3,"")</f>
        <v/>
      </c>
      <c r="B59" s="10"/>
      <c r="C59" s="9" t="str">
        <f aca="false">IF(B59&lt;&gt;"",TEXT(B59,"DDDD"),"")</f>
        <v/>
      </c>
      <c r="D59" s="9"/>
      <c r="E59" s="9"/>
      <c r="F59" s="9"/>
      <c r="G59" s="9"/>
      <c r="H59" s="9"/>
      <c r="I59" s="9"/>
      <c r="J59" s="9"/>
      <c r="K59" s="11" t="str">
        <f aca="false">IF(AND(B59&lt;&gt;"",I59&lt;&gt;"",F59&lt;&gt;""),IF(E59="Long",(I59-F59)*20,(F59-I59)*20),"")</f>
        <v/>
      </c>
      <c r="L59" s="12" t="str">
        <f aca="false">IF(AND(K59&lt;&gt;"",J59&lt;&gt;""),K59*J59,"")</f>
        <v/>
      </c>
      <c r="M59" s="13" t="str">
        <f aca="false">IF(AND(F59&lt;&gt;"",G59&lt;&gt;"",H59&lt;&gt;""),IF(E59="Long",(H59-F59)/(F59-G59),(F59-H59)/(G59-F59)),"")</f>
        <v/>
      </c>
      <c r="N59" s="13" t="str">
        <f aca="false">IF(AND(F59&lt;&gt;"",G59&lt;&gt;"",I59&lt;&gt;""),IF(E59="Long",(I59-F59)/(F59-G59),(F59-I59)/(G59-F59)),"")</f>
        <v/>
      </c>
      <c r="O59" s="9" t="str">
        <f aca="false">IF(L59="","",IF(L59&gt;0,"Win",IF(L59&lt;0,"Loss","Break Even")))</f>
        <v/>
      </c>
      <c r="P59" s="9"/>
      <c r="Q59" s="9"/>
      <c r="R59" s="9"/>
    </row>
    <row r="60" customFormat="false" ht="15" hidden="false" customHeight="false" outlineLevel="0" collapsed="false">
      <c r="A60" s="4" t="str">
        <f aca="false">IF(B60&lt;&gt;"",ROW()-3,"")</f>
        <v/>
      </c>
      <c r="B60" s="5"/>
      <c r="C60" s="4" t="str">
        <f aca="false">IF(B60&lt;&gt;"",TEXT(B60,"DDDD"),"")</f>
        <v/>
      </c>
      <c r="D60" s="4"/>
      <c r="E60" s="4"/>
      <c r="F60" s="4"/>
      <c r="G60" s="4"/>
      <c r="H60" s="4"/>
      <c r="I60" s="4"/>
      <c r="J60" s="4"/>
      <c r="K60" s="6" t="str">
        <f aca="false">IF(AND(B60&lt;&gt;"",I60&lt;&gt;"",F60&lt;&gt;""),IF(E60="Long",(I60-F60)*20,(F60-I60)*20),"")</f>
        <v/>
      </c>
      <c r="L60" s="7" t="str">
        <f aca="false">IF(AND(K60&lt;&gt;"",J60&lt;&gt;""),K60*J60,"")</f>
        <v/>
      </c>
      <c r="M60" s="8" t="str">
        <f aca="false">IF(AND(F60&lt;&gt;"",G60&lt;&gt;"",H60&lt;&gt;""),IF(E60="Long",(H60-F60)/(F60-G60),(F60-H60)/(G60-F60)),"")</f>
        <v/>
      </c>
      <c r="N60" s="8" t="str">
        <f aca="false">IF(AND(F60&lt;&gt;"",G60&lt;&gt;"",I60&lt;&gt;""),IF(E60="Long",(I60-F60)/(F60-G60),(F60-I60)/(G60-F60)),"")</f>
        <v/>
      </c>
      <c r="O60" s="4" t="str">
        <f aca="false">IF(L60="","",IF(L60&gt;0,"Win",IF(L60&lt;0,"Loss","Break Even")))</f>
        <v/>
      </c>
      <c r="P60" s="4"/>
      <c r="Q60" s="4"/>
      <c r="R60" s="4"/>
    </row>
    <row r="61" customFormat="false" ht="15" hidden="false" customHeight="false" outlineLevel="0" collapsed="false">
      <c r="A61" s="9" t="str">
        <f aca="false">IF(B61&lt;&gt;"",ROW()-3,"")</f>
        <v/>
      </c>
      <c r="B61" s="10"/>
      <c r="C61" s="9" t="str">
        <f aca="false">IF(B61&lt;&gt;"",TEXT(B61,"DDDD"),"")</f>
        <v/>
      </c>
      <c r="D61" s="9"/>
      <c r="E61" s="9"/>
      <c r="F61" s="9"/>
      <c r="G61" s="9"/>
      <c r="H61" s="9"/>
      <c r="I61" s="9"/>
      <c r="J61" s="9"/>
      <c r="K61" s="11" t="str">
        <f aca="false">IF(AND(B61&lt;&gt;"",I61&lt;&gt;"",F61&lt;&gt;""),IF(E61="Long",(I61-F61)*20,(F61-I61)*20),"")</f>
        <v/>
      </c>
      <c r="L61" s="12" t="str">
        <f aca="false">IF(AND(K61&lt;&gt;"",J61&lt;&gt;""),K61*J61,"")</f>
        <v/>
      </c>
      <c r="M61" s="13" t="str">
        <f aca="false">IF(AND(F61&lt;&gt;"",G61&lt;&gt;"",H61&lt;&gt;""),IF(E61="Long",(H61-F61)/(F61-G61),(F61-H61)/(G61-F61)),"")</f>
        <v/>
      </c>
      <c r="N61" s="13" t="str">
        <f aca="false">IF(AND(F61&lt;&gt;"",G61&lt;&gt;"",I61&lt;&gt;""),IF(E61="Long",(I61-F61)/(F61-G61),(F61-I61)/(G61-F61)),"")</f>
        <v/>
      </c>
      <c r="O61" s="9" t="str">
        <f aca="false">IF(L61="","",IF(L61&gt;0,"Win",IF(L61&lt;0,"Loss","Break Even")))</f>
        <v/>
      </c>
      <c r="P61" s="9"/>
      <c r="Q61" s="9"/>
      <c r="R61" s="9"/>
    </row>
    <row r="62" customFormat="false" ht="15" hidden="false" customHeight="false" outlineLevel="0" collapsed="false">
      <c r="A62" s="4" t="str">
        <f aca="false">IF(B62&lt;&gt;"",ROW()-3,"")</f>
        <v/>
      </c>
      <c r="B62" s="5"/>
      <c r="C62" s="4" t="str">
        <f aca="false">IF(B62&lt;&gt;"",TEXT(B62,"DDDD"),"")</f>
        <v/>
      </c>
      <c r="D62" s="4"/>
      <c r="E62" s="4"/>
      <c r="F62" s="4"/>
      <c r="G62" s="4"/>
      <c r="H62" s="4"/>
      <c r="I62" s="4"/>
      <c r="J62" s="4"/>
      <c r="K62" s="6" t="str">
        <f aca="false">IF(AND(B62&lt;&gt;"",I62&lt;&gt;"",F62&lt;&gt;""),IF(E62="Long",(I62-F62)*20,(F62-I62)*20),"")</f>
        <v/>
      </c>
      <c r="L62" s="7" t="str">
        <f aca="false">IF(AND(K62&lt;&gt;"",J62&lt;&gt;""),K62*J62,"")</f>
        <v/>
      </c>
      <c r="M62" s="8" t="str">
        <f aca="false">IF(AND(F62&lt;&gt;"",G62&lt;&gt;"",H62&lt;&gt;""),IF(E62="Long",(H62-F62)/(F62-G62),(F62-H62)/(G62-F62)),"")</f>
        <v/>
      </c>
      <c r="N62" s="8" t="str">
        <f aca="false">IF(AND(F62&lt;&gt;"",G62&lt;&gt;"",I62&lt;&gt;""),IF(E62="Long",(I62-F62)/(F62-G62),(F62-I62)/(G62-F62)),"")</f>
        <v/>
      </c>
      <c r="O62" s="4" t="str">
        <f aca="false">IF(L62="","",IF(L62&gt;0,"Win",IF(L62&lt;0,"Loss","Break Even")))</f>
        <v/>
      </c>
      <c r="P62" s="4"/>
      <c r="Q62" s="4"/>
      <c r="R62" s="4"/>
    </row>
    <row r="63" customFormat="false" ht="15" hidden="false" customHeight="false" outlineLevel="0" collapsed="false">
      <c r="A63" s="9" t="str">
        <f aca="false">IF(B63&lt;&gt;"",ROW()-3,"")</f>
        <v/>
      </c>
      <c r="B63" s="10"/>
      <c r="C63" s="9" t="str">
        <f aca="false">IF(B63&lt;&gt;"",TEXT(B63,"DDDD"),"")</f>
        <v/>
      </c>
      <c r="D63" s="9"/>
      <c r="E63" s="9"/>
      <c r="F63" s="9"/>
      <c r="G63" s="9"/>
      <c r="H63" s="9"/>
      <c r="I63" s="9"/>
      <c r="J63" s="9"/>
      <c r="K63" s="11" t="str">
        <f aca="false">IF(AND(B63&lt;&gt;"",I63&lt;&gt;"",F63&lt;&gt;""),IF(E63="Long",(I63-F63)*20,(F63-I63)*20),"")</f>
        <v/>
      </c>
      <c r="L63" s="12" t="str">
        <f aca="false">IF(AND(K63&lt;&gt;"",J63&lt;&gt;""),K63*J63,"")</f>
        <v/>
      </c>
      <c r="M63" s="13" t="str">
        <f aca="false">IF(AND(F63&lt;&gt;"",G63&lt;&gt;"",H63&lt;&gt;""),IF(E63="Long",(H63-F63)/(F63-G63),(F63-H63)/(G63-F63)),"")</f>
        <v/>
      </c>
      <c r="N63" s="13" t="str">
        <f aca="false">IF(AND(F63&lt;&gt;"",G63&lt;&gt;"",I63&lt;&gt;""),IF(E63="Long",(I63-F63)/(F63-G63),(F63-I63)/(G63-F63)),"")</f>
        <v/>
      </c>
      <c r="O63" s="9" t="str">
        <f aca="false">IF(L63="","",IF(L63&gt;0,"Win",IF(L63&lt;0,"Loss","Break Even")))</f>
        <v/>
      </c>
      <c r="P63" s="9"/>
      <c r="Q63" s="9"/>
      <c r="R63" s="9"/>
    </row>
    <row r="64" customFormat="false" ht="15" hidden="false" customHeight="false" outlineLevel="0" collapsed="false">
      <c r="A64" s="4" t="str">
        <f aca="false">IF(B64&lt;&gt;"",ROW()-3,"")</f>
        <v/>
      </c>
      <c r="B64" s="5"/>
      <c r="C64" s="4" t="str">
        <f aca="false">IF(B64&lt;&gt;"",TEXT(B64,"DDDD"),"")</f>
        <v/>
      </c>
      <c r="D64" s="4"/>
      <c r="E64" s="4"/>
      <c r="F64" s="4"/>
      <c r="G64" s="4"/>
      <c r="H64" s="4"/>
      <c r="I64" s="4"/>
      <c r="J64" s="4"/>
      <c r="K64" s="6" t="str">
        <f aca="false">IF(AND(B64&lt;&gt;"",I64&lt;&gt;"",F64&lt;&gt;""),IF(E64="Long",(I64-F64)*20,(F64-I64)*20),"")</f>
        <v/>
      </c>
      <c r="L64" s="7" t="str">
        <f aca="false">IF(AND(K64&lt;&gt;"",J64&lt;&gt;""),K64*J64,"")</f>
        <v/>
      </c>
      <c r="M64" s="8" t="str">
        <f aca="false">IF(AND(F64&lt;&gt;"",G64&lt;&gt;"",H64&lt;&gt;""),IF(E64="Long",(H64-F64)/(F64-G64),(F64-H64)/(G64-F64)),"")</f>
        <v/>
      </c>
      <c r="N64" s="8" t="str">
        <f aca="false">IF(AND(F64&lt;&gt;"",G64&lt;&gt;"",I64&lt;&gt;""),IF(E64="Long",(I64-F64)/(F64-G64),(F64-I64)/(G64-F64)),"")</f>
        <v/>
      </c>
      <c r="O64" s="4" t="str">
        <f aca="false">IF(L64="","",IF(L64&gt;0,"Win",IF(L64&lt;0,"Loss","Break Even")))</f>
        <v/>
      </c>
      <c r="P64" s="4"/>
      <c r="Q64" s="4"/>
      <c r="R64" s="4"/>
    </row>
    <row r="65" customFormat="false" ht="15" hidden="false" customHeight="false" outlineLevel="0" collapsed="false">
      <c r="A65" s="9" t="str">
        <f aca="false">IF(B65&lt;&gt;"",ROW()-3,"")</f>
        <v/>
      </c>
      <c r="B65" s="10"/>
      <c r="C65" s="9" t="str">
        <f aca="false">IF(B65&lt;&gt;"",TEXT(B65,"DDDD"),"")</f>
        <v/>
      </c>
      <c r="D65" s="9"/>
      <c r="E65" s="9"/>
      <c r="F65" s="9"/>
      <c r="G65" s="9"/>
      <c r="H65" s="9"/>
      <c r="I65" s="9"/>
      <c r="J65" s="9"/>
      <c r="K65" s="11" t="str">
        <f aca="false">IF(AND(B65&lt;&gt;"",I65&lt;&gt;"",F65&lt;&gt;""),IF(E65="Long",(I65-F65)*20,(F65-I65)*20),"")</f>
        <v/>
      </c>
      <c r="L65" s="12" t="str">
        <f aca="false">IF(AND(K65&lt;&gt;"",J65&lt;&gt;""),K65*J65,"")</f>
        <v/>
      </c>
      <c r="M65" s="13" t="str">
        <f aca="false">IF(AND(F65&lt;&gt;"",G65&lt;&gt;"",H65&lt;&gt;""),IF(E65="Long",(H65-F65)/(F65-G65),(F65-H65)/(G65-F65)),"")</f>
        <v/>
      </c>
      <c r="N65" s="13" t="str">
        <f aca="false">IF(AND(F65&lt;&gt;"",G65&lt;&gt;"",I65&lt;&gt;""),IF(E65="Long",(I65-F65)/(F65-G65),(F65-I65)/(G65-F65)),"")</f>
        <v/>
      </c>
      <c r="O65" s="9" t="str">
        <f aca="false">IF(L65="","",IF(L65&gt;0,"Win",IF(L65&lt;0,"Loss","Break Even")))</f>
        <v/>
      </c>
      <c r="P65" s="9"/>
      <c r="Q65" s="9"/>
      <c r="R65" s="9"/>
    </row>
    <row r="66" customFormat="false" ht="15" hidden="false" customHeight="false" outlineLevel="0" collapsed="false">
      <c r="A66" s="4" t="str">
        <f aca="false">IF(B66&lt;&gt;"",ROW()-3,"")</f>
        <v/>
      </c>
      <c r="B66" s="5"/>
      <c r="C66" s="4" t="str">
        <f aca="false">IF(B66&lt;&gt;"",TEXT(B66,"DDDD"),"")</f>
        <v/>
      </c>
      <c r="D66" s="4"/>
      <c r="E66" s="4"/>
      <c r="F66" s="4"/>
      <c r="G66" s="4"/>
      <c r="H66" s="4"/>
      <c r="I66" s="4"/>
      <c r="J66" s="4"/>
      <c r="K66" s="6" t="str">
        <f aca="false">IF(AND(B66&lt;&gt;"",I66&lt;&gt;"",F66&lt;&gt;""),IF(E66="Long",(I66-F66)*20,(F66-I66)*20),"")</f>
        <v/>
      </c>
      <c r="L66" s="7" t="str">
        <f aca="false">IF(AND(K66&lt;&gt;"",J66&lt;&gt;""),K66*J66,"")</f>
        <v/>
      </c>
      <c r="M66" s="8" t="str">
        <f aca="false">IF(AND(F66&lt;&gt;"",G66&lt;&gt;"",H66&lt;&gt;""),IF(E66="Long",(H66-F66)/(F66-G66),(F66-H66)/(G66-F66)),"")</f>
        <v/>
      </c>
      <c r="N66" s="8" t="str">
        <f aca="false">IF(AND(F66&lt;&gt;"",G66&lt;&gt;"",I66&lt;&gt;""),IF(E66="Long",(I66-F66)/(F66-G66),(F66-I66)/(G66-F66)),"")</f>
        <v/>
      </c>
      <c r="O66" s="4" t="str">
        <f aca="false">IF(L66="","",IF(L66&gt;0,"Win",IF(L66&lt;0,"Loss","Break Even")))</f>
        <v/>
      </c>
      <c r="P66" s="4"/>
      <c r="Q66" s="4"/>
      <c r="R66" s="4"/>
    </row>
    <row r="67" customFormat="false" ht="15" hidden="false" customHeight="false" outlineLevel="0" collapsed="false">
      <c r="A67" s="9" t="str">
        <f aca="false">IF(B67&lt;&gt;"",ROW()-3,"")</f>
        <v/>
      </c>
      <c r="B67" s="10"/>
      <c r="C67" s="9" t="str">
        <f aca="false">IF(B67&lt;&gt;"",TEXT(B67,"DDDD"),"")</f>
        <v/>
      </c>
      <c r="D67" s="9"/>
      <c r="E67" s="9"/>
      <c r="F67" s="9"/>
      <c r="G67" s="9"/>
      <c r="H67" s="9"/>
      <c r="I67" s="9"/>
      <c r="J67" s="9"/>
      <c r="K67" s="11" t="str">
        <f aca="false">IF(AND(B67&lt;&gt;"",I67&lt;&gt;"",F67&lt;&gt;""),IF(E67="Long",(I67-F67)*20,(F67-I67)*20),"")</f>
        <v/>
      </c>
      <c r="L67" s="12" t="str">
        <f aca="false">IF(AND(K67&lt;&gt;"",J67&lt;&gt;""),K67*J67,"")</f>
        <v/>
      </c>
      <c r="M67" s="13" t="str">
        <f aca="false">IF(AND(F67&lt;&gt;"",G67&lt;&gt;"",H67&lt;&gt;""),IF(E67="Long",(H67-F67)/(F67-G67),(F67-H67)/(G67-F67)),"")</f>
        <v/>
      </c>
      <c r="N67" s="13" t="str">
        <f aca="false">IF(AND(F67&lt;&gt;"",G67&lt;&gt;"",I67&lt;&gt;""),IF(E67="Long",(I67-F67)/(F67-G67),(F67-I67)/(G67-F67)),"")</f>
        <v/>
      </c>
      <c r="O67" s="9" t="str">
        <f aca="false">IF(L67="","",IF(L67&gt;0,"Win",IF(L67&lt;0,"Loss","Break Even")))</f>
        <v/>
      </c>
      <c r="P67" s="9"/>
      <c r="Q67" s="9"/>
      <c r="R67" s="9"/>
    </row>
    <row r="68" customFormat="false" ht="15" hidden="false" customHeight="false" outlineLevel="0" collapsed="false">
      <c r="A68" s="4" t="str">
        <f aca="false">IF(B68&lt;&gt;"",ROW()-3,"")</f>
        <v/>
      </c>
      <c r="B68" s="5"/>
      <c r="C68" s="4" t="str">
        <f aca="false">IF(B68&lt;&gt;"",TEXT(B68,"DDDD"),"")</f>
        <v/>
      </c>
      <c r="D68" s="4"/>
      <c r="E68" s="4"/>
      <c r="F68" s="4"/>
      <c r="G68" s="4"/>
      <c r="H68" s="4"/>
      <c r="I68" s="4"/>
      <c r="J68" s="4"/>
      <c r="K68" s="6" t="str">
        <f aca="false">IF(AND(B68&lt;&gt;"",I68&lt;&gt;"",F68&lt;&gt;""),IF(E68="Long",(I68-F68)*20,(F68-I68)*20),"")</f>
        <v/>
      </c>
      <c r="L68" s="7" t="str">
        <f aca="false">IF(AND(K68&lt;&gt;"",J68&lt;&gt;""),K68*J68,"")</f>
        <v/>
      </c>
      <c r="M68" s="8" t="str">
        <f aca="false">IF(AND(F68&lt;&gt;"",G68&lt;&gt;"",H68&lt;&gt;""),IF(E68="Long",(H68-F68)/(F68-G68),(F68-H68)/(G68-F68)),"")</f>
        <v/>
      </c>
      <c r="N68" s="8" t="str">
        <f aca="false">IF(AND(F68&lt;&gt;"",G68&lt;&gt;"",I68&lt;&gt;""),IF(E68="Long",(I68-F68)/(F68-G68),(F68-I68)/(G68-F68)),"")</f>
        <v/>
      </c>
      <c r="O68" s="4" t="str">
        <f aca="false">IF(L68="","",IF(L68&gt;0,"Win",IF(L68&lt;0,"Loss","Break Even")))</f>
        <v/>
      </c>
      <c r="P68" s="4"/>
      <c r="Q68" s="4"/>
      <c r="R68" s="4"/>
    </row>
    <row r="69" customFormat="false" ht="15" hidden="false" customHeight="false" outlineLevel="0" collapsed="false">
      <c r="A69" s="9" t="str">
        <f aca="false">IF(B69&lt;&gt;"",ROW()-3,"")</f>
        <v/>
      </c>
      <c r="B69" s="10"/>
      <c r="C69" s="9" t="str">
        <f aca="false">IF(B69&lt;&gt;"",TEXT(B69,"DDDD"),"")</f>
        <v/>
      </c>
      <c r="D69" s="9"/>
      <c r="E69" s="9"/>
      <c r="F69" s="9"/>
      <c r="G69" s="9"/>
      <c r="H69" s="9"/>
      <c r="I69" s="9"/>
      <c r="J69" s="9"/>
      <c r="K69" s="11" t="str">
        <f aca="false">IF(AND(B69&lt;&gt;"",I69&lt;&gt;"",F69&lt;&gt;""),IF(E69="Long",(I69-F69)*20,(F69-I69)*20),"")</f>
        <v/>
      </c>
      <c r="L69" s="12" t="str">
        <f aca="false">IF(AND(K69&lt;&gt;"",J69&lt;&gt;""),K69*J69,"")</f>
        <v/>
      </c>
      <c r="M69" s="13" t="str">
        <f aca="false">IF(AND(F69&lt;&gt;"",G69&lt;&gt;"",H69&lt;&gt;""),IF(E69="Long",(H69-F69)/(F69-G69),(F69-H69)/(G69-F69)),"")</f>
        <v/>
      </c>
      <c r="N69" s="13" t="str">
        <f aca="false">IF(AND(F69&lt;&gt;"",G69&lt;&gt;"",I69&lt;&gt;""),IF(E69="Long",(I69-F69)/(F69-G69),(F69-I69)/(G69-F69)),"")</f>
        <v/>
      </c>
      <c r="O69" s="9" t="str">
        <f aca="false">IF(L69="","",IF(L69&gt;0,"Win",IF(L69&lt;0,"Loss","Break Even")))</f>
        <v/>
      </c>
      <c r="P69" s="9"/>
      <c r="Q69" s="9"/>
      <c r="R69" s="9"/>
    </row>
    <row r="70" customFormat="false" ht="15" hidden="false" customHeight="false" outlineLevel="0" collapsed="false">
      <c r="A70" s="4" t="str">
        <f aca="false">IF(B70&lt;&gt;"",ROW()-3,"")</f>
        <v/>
      </c>
      <c r="B70" s="5"/>
      <c r="C70" s="4" t="str">
        <f aca="false">IF(B70&lt;&gt;"",TEXT(B70,"DDDD"),"")</f>
        <v/>
      </c>
      <c r="D70" s="4"/>
      <c r="E70" s="4"/>
      <c r="F70" s="4"/>
      <c r="G70" s="4"/>
      <c r="H70" s="4"/>
      <c r="I70" s="4"/>
      <c r="J70" s="4"/>
      <c r="K70" s="6" t="str">
        <f aca="false">IF(AND(B70&lt;&gt;"",I70&lt;&gt;"",F70&lt;&gt;""),IF(E70="Long",(I70-F70)*20,(F70-I70)*20),"")</f>
        <v/>
      </c>
      <c r="L70" s="7" t="str">
        <f aca="false">IF(AND(K70&lt;&gt;"",J70&lt;&gt;""),K70*J70,"")</f>
        <v/>
      </c>
      <c r="M70" s="8" t="str">
        <f aca="false">IF(AND(F70&lt;&gt;"",G70&lt;&gt;"",H70&lt;&gt;""),IF(E70="Long",(H70-F70)/(F70-G70),(F70-H70)/(G70-F70)),"")</f>
        <v/>
      </c>
      <c r="N70" s="8" t="str">
        <f aca="false">IF(AND(F70&lt;&gt;"",G70&lt;&gt;"",I70&lt;&gt;""),IF(E70="Long",(I70-F70)/(F70-G70),(F70-I70)/(G70-F70)),"")</f>
        <v/>
      </c>
      <c r="O70" s="4" t="str">
        <f aca="false">IF(L70="","",IF(L70&gt;0,"Win",IF(L70&lt;0,"Loss","Break Even")))</f>
        <v/>
      </c>
      <c r="P70" s="4"/>
      <c r="Q70" s="4"/>
      <c r="R70" s="4"/>
    </row>
    <row r="71" customFormat="false" ht="15" hidden="false" customHeight="false" outlineLevel="0" collapsed="false">
      <c r="A71" s="9" t="str">
        <f aca="false">IF(B71&lt;&gt;"",ROW()-3,"")</f>
        <v/>
      </c>
      <c r="B71" s="10"/>
      <c r="C71" s="9" t="str">
        <f aca="false">IF(B71&lt;&gt;"",TEXT(B71,"DDDD"),"")</f>
        <v/>
      </c>
      <c r="D71" s="9"/>
      <c r="E71" s="9"/>
      <c r="F71" s="9"/>
      <c r="G71" s="9"/>
      <c r="H71" s="9"/>
      <c r="I71" s="9"/>
      <c r="J71" s="9"/>
      <c r="K71" s="11" t="str">
        <f aca="false">IF(AND(B71&lt;&gt;"",I71&lt;&gt;"",F71&lt;&gt;""),IF(E71="Long",(I71-F71)*20,(F71-I71)*20),"")</f>
        <v/>
      </c>
      <c r="L71" s="12" t="str">
        <f aca="false">IF(AND(K71&lt;&gt;"",J71&lt;&gt;""),K71*J71,"")</f>
        <v/>
      </c>
      <c r="M71" s="13" t="str">
        <f aca="false">IF(AND(F71&lt;&gt;"",G71&lt;&gt;"",H71&lt;&gt;""),IF(E71="Long",(H71-F71)/(F71-G71),(F71-H71)/(G71-F71)),"")</f>
        <v/>
      </c>
      <c r="N71" s="13" t="str">
        <f aca="false">IF(AND(F71&lt;&gt;"",G71&lt;&gt;"",I71&lt;&gt;""),IF(E71="Long",(I71-F71)/(F71-G71),(F71-I71)/(G71-F71)),"")</f>
        <v/>
      </c>
      <c r="O71" s="9" t="str">
        <f aca="false">IF(L71="","",IF(L71&gt;0,"Win",IF(L71&lt;0,"Loss","Break Even")))</f>
        <v/>
      </c>
      <c r="P71" s="9"/>
      <c r="Q71" s="9"/>
      <c r="R71" s="9"/>
    </row>
    <row r="72" customFormat="false" ht="15" hidden="false" customHeight="false" outlineLevel="0" collapsed="false">
      <c r="A72" s="4" t="str">
        <f aca="false">IF(B72&lt;&gt;"",ROW()-3,"")</f>
        <v/>
      </c>
      <c r="B72" s="5"/>
      <c r="C72" s="4" t="str">
        <f aca="false">IF(B72&lt;&gt;"",TEXT(B72,"DDDD"),"")</f>
        <v/>
      </c>
      <c r="D72" s="4"/>
      <c r="E72" s="4"/>
      <c r="F72" s="4"/>
      <c r="G72" s="4"/>
      <c r="H72" s="4"/>
      <c r="I72" s="4"/>
      <c r="J72" s="4"/>
      <c r="K72" s="6" t="str">
        <f aca="false">IF(AND(B72&lt;&gt;"",I72&lt;&gt;"",F72&lt;&gt;""),IF(E72="Long",(I72-F72)*20,(F72-I72)*20),"")</f>
        <v/>
      </c>
      <c r="L72" s="7" t="str">
        <f aca="false">IF(AND(K72&lt;&gt;"",J72&lt;&gt;""),K72*J72,"")</f>
        <v/>
      </c>
      <c r="M72" s="8" t="str">
        <f aca="false">IF(AND(F72&lt;&gt;"",G72&lt;&gt;"",H72&lt;&gt;""),IF(E72="Long",(H72-F72)/(F72-G72),(F72-H72)/(G72-F72)),"")</f>
        <v/>
      </c>
      <c r="N72" s="8" t="str">
        <f aca="false">IF(AND(F72&lt;&gt;"",G72&lt;&gt;"",I72&lt;&gt;""),IF(E72="Long",(I72-F72)/(F72-G72),(F72-I72)/(G72-F72)),"")</f>
        <v/>
      </c>
      <c r="O72" s="4" t="str">
        <f aca="false">IF(L72="","",IF(L72&gt;0,"Win",IF(L72&lt;0,"Loss","Break Even")))</f>
        <v/>
      </c>
      <c r="P72" s="4"/>
      <c r="Q72" s="4"/>
      <c r="R72" s="4"/>
    </row>
    <row r="73" customFormat="false" ht="15" hidden="false" customHeight="false" outlineLevel="0" collapsed="false">
      <c r="A73" s="9" t="str">
        <f aca="false">IF(B73&lt;&gt;"",ROW()-3,"")</f>
        <v/>
      </c>
      <c r="B73" s="10"/>
      <c r="C73" s="9" t="str">
        <f aca="false">IF(B73&lt;&gt;"",TEXT(B73,"DDDD"),"")</f>
        <v/>
      </c>
      <c r="D73" s="9"/>
      <c r="E73" s="9"/>
      <c r="F73" s="9"/>
      <c r="G73" s="9"/>
      <c r="H73" s="9"/>
      <c r="I73" s="9"/>
      <c r="J73" s="9"/>
      <c r="K73" s="11" t="str">
        <f aca="false">IF(AND(B73&lt;&gt;"",I73&lt;&gt;"",F73&lt;&gt;""),IF(E73="Long",(I73-F73)*20,(F73-I73)*20),"")</f>
        <v/>
      </c>
      <c r="L73" s="12" t="str">
        <f aca="false">IF(AND(K73&lt;&gt;"",J73&lt;&gt;""),K73*J73,"")</f>
        <v/>
      </c>
      <c r="M73" s="13" t="str">
        <f aca="false">IF(AND(F73&lt;&gt;"",G73&lt;&gt;"",H73&lt;&gt;""),IF(E73="Long",(H73-F73)/(F73-G73),(F73-H73)/(G73-F73)),"")</f>
        <v/>
      </c>
      <c r="N73" s="13" t="str">
        <f aca="false">IF(AND(F73&lt;&gt;"",G73&lt;&gt;"",I73&lt;&gt;""),IF(E73="Long",(I73-F73)/(F73-G73),(F73-I73)/(G73-F73)),"")</f>
        <v/>
      </c>
      <c r="O73" s="9" t="str">
        <f aca="false">IF(L73="","",IF(L73&gt;0,"Win",IF(L73&lt;0,"Loss","Break Even")))</f>
        <v/>
      </c>
      <c r="P73" s="9"/>
      <c r="Q73" s="9"/>
      <c r="R73" s="9"/>
    </row>
    <row r="74" customFormat="false" ht="15" hidden="false" customHeight="false" outlineLevel="0" collapsed="false">
      <c r="A74" s="4" t="str">
        <f aca="false">IF(B74&lt;&gt;"",ROW()-3,"")</f>
        <v/>
      </c>
      <c r="B74" s="5"/>
      <c r="C74" s="4" t="str">
        <f aca="false">IF(B74&lt;&gt;"",TEXT(B74,"DDDD"),"")</f>
        <v/>
      </c>
      <c r="D74" s="4"/>
      <c r="E74" s="4"/>
      <c r="F74" s="4"/>
      <c r="G74" s="4"/>
      <c r="H74" s="4"/>
      <c r="I74" s="4"/>
      <c r="J74" s="4"/>
      <c r="K74" s="6" t="str">
        <f aca="false">IF(AND(B74&lt;&gt;"",I74&lt;&gt;"",F74&lt;&gt;""),IF(E74="Long",(I74-F74)*20,(F74-I74)*20),"")</f>
        <v/>
      </c>
      <c r="L74" s="7" t="str">
        <f aca="false">IF(AND(K74&lt;&gt;"",J74&lt;&gt;""),K74*J74,"")</f>
        <v/>
      </c>
      <c r="M74" s="8" t="str">
        <f aca="false">IF(AND(F74&lt;&gt;"",G74&lt;&gt;"",H74&lt;&gt;""),IF(E74="Long",(H74-F74)/(F74-G74),(F74-H74)/(G74-F74)),"")</f>
        <v/>
      </c>
      <c r="N74" s="8" t="str">
        <f aca="false">IF(AND(F74&lt;&gt;"",G74&lt;&gt;"",I74&lt;&gt;""),IF(E74="Long",(I74-F74)/(F74-G74),(F74-I74)/(G74-F74)),"")</f>
        <v/>
      </c>
      <c r="O74" s="4" t="str">
        <f aca="false">IF(L74="","",IF(L74&gt;0,"Win",IF(L74&lt;0,"Loss","Break Even")))</f>
        <v/>
      </c>
      <c r="P74" s="4"/>
      <c r="Q74" s="4"/>
      <c r="R74" s="4"/>
    </row>
    <row r="75" customFormat="false" ht="15" hidden="false" customHeight="false" outlineLevel="0" collapsed="false">
      <c r="A75" s="9" t="str">
        <f aca="false">IF(B75&lt;&gt;"",ROW()-3,"")</f>
        <v/>
      </c>
      <c r="B75" s="10"/>
      <c r="C75" s="9" t="str">
        <f aca="false">IF(B75&lt;&gt;"",TEXT(B75,"DDDD"),"")</f>
        <v/>
      </c>
      <c r="D75" s="9"/>
      <c r="E75" s="9"/>
      <c r="F75" s="9"/>
      <c r="G75" s="9"/>
      <c r="H75" s="9"/>
      <c r="I75" s="9"/>
      <c r="J75" s="9"/>
      <c r="K75" s="11" t="str">
        <f aca="false">IF(AND(B75&lt;&gt;"",I75&lt;&gt;"",F75&lt;&gt;""),IF(E75="Long",(I75-F75)*20,(F75-I75)*20),"")</f>
        <v/>
      </c>
      <c r="L75" s="12" t="str">
        <f aca="false">IF(AND(K75&lt;&gt;"",J75&lt;&gt;""),K75*J75,"")</f>
        <v/>
      </c>
      <c r="M75" s="13" t="str">
        <f aca="false">IF(AND(F75&lt;&gt;"",G75&lt;&gt;"",H75&lt;&gt;""),IF(E75="Long",(H75-F75)/(F75-G75),(F75-H75)/(G75-F75)),"")</f>
        <v/>
      </c>
      <c r="N75" s="13" t="str">
        <f aca="false">IF(AND(F75&lt;&gt;"",G75&lt;&gt;"",I75&lt;&gt;""),IF(E75="Long",(I75-F75)/(F75-G75),(F75-I75)/(G75-F75)),"")</f>
        <v/>
      </c>
      <c r="O75" s="9" t="str">
        <f aca="false">IF(L75="","",IF(L75&gt;0,"Win",IF(L75&lt;0,"Loss","Break Even")))</f>
        <v/>
      </c>
      <c r="P75" s="9"/>
      <c r="Q75" s="9"/>
      <c r="R75" s="9"/>
    </row>
    <row r="76" customFormat="false" ht="15" hidden="false" customHeight="false" outlineLevel="0" collapsed="false">
      <c r="A76" s="4" t="str">
        <f aca="false">IF(B76&lt;&gt;"",ROW()-3,"")</f>
        <v/>
      </c>
      <c r="B76" s="5"/>
      <c r="C76" s="4" t="str">
        <f aca="false">IF(B76&lt;&gt;"",TEXT(B76,"DDDD"),"")</f>
        <v/>
      </c>
      <c r="D76" s="4"/>
      <c r="E76" s="4"/>
      <c r="F76" s="4"/>
      <c r="G76" s="4"/>
      <c r="H76" s="4"/>
      <c r="I76" s="4"/>
      <c r="J76" s="4"/>
      <c r="K76" s="6" t="str">
        <f aca="false">IF(AND(B76&lt;&gt;"",I76&lt;&gt;"",F76&lt;&gt;""),IF(E76="Long",(I76-F76)*20,(F76-I76)*20),"")</f>
        <v/>
      </c>
      <c r="L76" s="7" t="str">
        <f aca="false">IF(AND(K76&lt;&gt;"",J76&lt;&gt;""),K76*J76,"")</f>
        <v/>
      </c>
      <c r="M76" s="8" t="str">
        <f aca="false">IF(AND(F76&lt;&gt;"",G76&lt;&gt;"",H76&lt;&gt;""),IF(E76="Long",(H76-F76)/(F76-G76),(F76-H76)/(G76-F76)),"")</f>
        <v/>
      </c>
      <c r="N76" s="8" t="str">
        <f aca="false">IF(AND(F76&lt;&gt;"",G76&lt;&gt;"",I76&lt;&gt;""),IF(E76="Long",(I76-F76)/(F76-G76),(F76-I76)/(G76-F76)),"")</f>
        <v/>
      </c>
      <c r="O76" s="4" t="str">
        <f aca="false">IF(L76="","",IF(L76&gt;0,"Win",IF(L76&lt;0,"Loss","Break Even")))</f>
        <v/>
      </c>
      <c r="P76" s="4"/>
      <c r="Q76" s="4"/>
      <c r="R76" s="4"/>
    </row>
    <row r="77" customFormat="false" ht="15" hidden="false" customHeight="false" outlineLevel="0" collapsed="false">
      <c r="A77" s="9" t="str">
        <f aca="false">IF(B77&lt;&gt;"",ROW()-3,"")</f>
        <v/>
      </c>
      <c r="B77" s="10"/>
      <c r="C77" s="9" t="str">
        <f aca="false">IF(B77&lt;&gt;"",TEXT(B77,"DDDD"),"")</f>
        <v/>
      </c>
      <c r="D77" s="9"/>
      <c r="E77" s="9"/>
      <c r="F77" s="9"/>
      <c r="G77" s="9"/>
      <c r="H77" s="9"/>
      <c r="I77" s="9"/>
      <c r="J77" s="9"/>
      <c r="K77" s="11" t="str">
        <f aca="false">IF(AND(B77&lt;&gt;"",I77&lt;&gt;"",F77&lt;&gt;""),IF(E77="Long",(I77-F77)*20,(F77-I77)*20),"")</f>
        <v/>
      </c>
      <c r="L77" s="12" t="str">
        <f aca="false">IF(AND(K77&lt;&gt;"",J77&lt;&gt;""),K77*J77,"")</f>
        <v/>
      </c>
      <c r="M77" s="13" t="str">
        <f aca="false">IF(AND(F77&lt;&gt;"",G77&lt;&gt;"",H77&lt;&gt;""),IF(E77="Long",(H77-F77)/(F77-G77),(F77-H77)/(G77-F77)),"")</f>
        <v/>
      </c>
      <c r="N77" s="13" t="str">
        <f aca="false">IF(AND(F77&lt;&gt;"",G77&lt;&gt;"",I77&lt;&gt;""),IF(E77="Long",(I77-F77)/(F77-G77),(F77-I77)/(G77-F77)),"")</f>
        <v/>
      </c>
      <c r="O77" s="9" t="str">
        <f aca="false">IF(L77="","",IF(L77&gt;0,"Win",IF(L77&lt;0,"Loss","Break Even")))</f>
        <v/>
      </c>
      <c r="P77" s="9"/>
      <c r="Q77" s="9"/>
      <c r="R77" s="9"/>
    </row>
    <row r="78" customFormat="false" ht="15" hidden="false" customHeight="false" outlineLevel="0" collapsed="false">
      <c r="A78" s="4" t="str">
        <f aca="false">IF(B78&lt;&gt;"",ROW()-3,"")</f>
        <v/>
      </c>
      <c r="B78" s="5"/>
      <c r="C78" s="4" t="str">
        <f aca="false">IF(B78&lt;&gt;"",TEXT(B78,"DDDD"),"")</f>
        <v/>
      </c>
      <c r="D78" s="4"/>
      <c r="E78" s="4"/>
      <c r="F78" s="4"/>
      <c r="G78" s="4"/>
      <c r="H78" s="4"/>
      <c r="I78" s="4"/>
      <c r="J78" s="4"/>
      <c r="K78" s="6" t="str">
        <f aca="false">IF(AND(B78&lt;&gt;"",I78&lt;&gt;"",F78&lt;&gt;""),IF(E78="Long",(I78-F78)*20,(F78-I78)*20),"")</f>
        <v/>
      </c>
      <c r="L78" s="7" t="str">
        <f aca="false">IF(AND(K78&lt;&gt;"",J78&lt;&gt;""),K78*J78,"")</f>
        <v/>
      </c>
      <c r="M78" s="8" t="str">
        <f aca="false">IF(AND(F78&lt;&gt;"",G78&lt;&gt;"",H78&lt;&gt;""),IF(E78="Long",(H78-F78)/(F78-G78),(F78-H78)/(G78-F78)),"")</f>
        <v/>
      </c>
      <c r="N78" s="8" t="str">
        <f aca="false">IF(AND(F78&lt;&gt;"",G78&lt;&gt;"",I78&lt;&gt;""),IF(E78="Long",(I78-F78)/(F78-G78),(F78-I78)/(G78-F78)),"")</f>
        <v/>
      </c>
      <c r="O78" s="4" t="str">
        <f aca="false">IF(L78="","",IF(L78&gt;0,"Win",IF(L78&lt;0,"Loss","Break Even")))</f>
        <v/>
      </c>
      <c r="P78" s="4"/>
      <c r="Q78" s="4"/>
      <c r="R78" s="4"/>
    </row>
    <row r="79" customFormat="false" ht="15" hidden="false" customHeight="false" outlineLevel="0" collapsed="false">
      <c r="A79" s="9" t="str">
        <f aca="false">IF(B79&lt;&gt;"",ROW()-3,"")</f>
        <v/>
      </c>
      <c r="B79" s="10"/>
      <c r="C79" s="9" t="str">
        <f aca="false">IF(B79&lt;&gt;"",TEXT(B79,"DDDD"),"")</f>
        <v/>
      </c>
      <c r="D79" s="9"/>
      <c r="E79" s="9"/>
      <c r="F79" s="9"/>
      <c r="G79" s="9"/>
      <c r="H79" s="9"/>
      <c r="I79" s="9"/>
      <c r="J79" s="9"/>
      <c r="K79" s="11" t="str">
        <f aca="false">IF(AND(B79&lt;&gt;"",I79&lt;&gt;"",F79&lt;&gt;""),IF(E79="Long",(I79-F79)*20,(F79-I79)*20),"")</f>
        <v/>
      </c>
      <c r="L79" s="12" t="str">
        <f aca="false">IF(AND(K79&lt;&gt;"",J79&lt;&gt;""),K79*J79,"")</f>
        <v/>
      </c>
      <c r="M79" s="13" t="str">
        <f aca="false">IF(AND(F79&lt;&gt;"",G79&lt;&gt;"",H79&lt;&gt;""),IF(E79="Long",(H79-F79)/(F79-G79),(F79-H79)/(G79-F79)),"")</f>
        <v/>
      </c>
      <c r="N79" s="13" t="str">
        <f aca="false">IF(AND(F79&lt;&gt;"",G79&lt;&gt;"",I79&lt;&gt;""),IF(E79="Long",(I79-F79)/(F79-G79),(F79-I79)/(G79-F79)),"")</f>
        <v/>
      </c>
      <c r="O79" s="9" t="str">
        <f aca="false">IF(L79="","",IF(L79&gt;0,"Win",IF(L79&lt;0,"Loss","Break Even")))</f>
        <v/>
      </c>
      <c r="P79" s="9"/>
      <c r="Q79" s="9"/>
      <c r="R79" s="9"/>
    </row>
    <row r="80" customFormat="false" ht="15" hidden="false" customHeight="false" outlineLevel="0" collapsed="false">
      <c r="A80" s="4" t="str">
        <f aca="false">IF(B80&lt;&gt;"",ROW()-3,"")</f>
        <v/>
      </c>
      <c r="B80" s="5"/>
      <c r="C80" s="4" t="str">
        <f aca="false">IF(B80&lt;&gt;"",TEXT(B80,"DDDD"),"")</f>
        <v/>
      </c>
      <c r="D80" s="4"/>
      <c r="E80" s="4"/>
      <c r="F80" s="4"/>
      <c r="G80" s="4"/>
      <c r="H80" s="4"/>
      <c r="I80" s="4"/>
      <c r="J80" s="4"/>
      <c r="K80" s="6" t="str">
        <f aca="false">IF(AND(B80&lt;&gt;"",I80&lt;&gt;"",F80&lt;&gt;""),IF(E80="Long",(I80-F80)*20,(F80-I80)*20),"")</f>
        <v/>
      </c>
      <c r="L80" s="7" t="str">
        <f aca="false">IF(AND(K80&lt;&gt;"",J80&lt;&gt;""),K80*J80,"")</f>
        <v/>
      </c>
      <c r="M80" s="8" t="str">
        <f aca="false">IF(AND(F80&lt;&gt;"",G80&lt;&gt;"",H80&lt;&gt;""),IF(E80="Long",(H80-F80)/(F80-G80),(F80-H80)/(G80-F80)),"")</f>
        <v/>
      </c>
      <c r="N80" s="8" t="str">
        <f aca="false">IF(AND(F80&lt;&gt;"",G80&lt;&gt;"",I80&lt;&gt;""),IF(E80="Long",(I80-F80)/(F80-G80),(F80-I80)/(G80-F80)),"")</f>
        <v/>
      </c>
      <c r="O80" s="4" t="str">
        <f aca="false">IF(L80="","",IF(L80&gt;0,"Win",IF(L80&lt;0,"Loss","Break Even")))</f>
        <v/>
      </c>
      <c r="P80" s="4"/>
      <c r="Q80" s="4"/>
      <c r="R80" s="4"/>
    </row>
    <row r="81" customFormat="false" ht="15" hidden="false" customHeight="false" outlineLevel="0" collapsed="false">
      <c r="A81" s="9" t="str">
        <f aca="false">IF(B81&lt;&gt;"",ROW()-3,"")</f>
        <v/>
      </c>
      <c r="B81" s="10"/>
      <c r="C81" s="9" t="str">
        <f aca="false">IF(B81&lt;&gt;"",TEXT(B81,"DDDD"),"")</f>
        <v/>
      </c>
      <c r="D81" s="9"/>
      <c r="E81" s="9"/>
      <c r="F81" s="9"/>
      <c r="G81" s="9"/>
      <c r="H81" s="9"/>
      <c r="I81" s="9"/>
      <c r="J81" s="9"/>
      <c r="K81" s="11" t="str">
        <f aca="false">IF(AND(B81&lt;&gt;"",I81&lt;&gt;"",F81&lt;&gt;""),IF(E81="Long",(I81-F81)*20,(F81-I81)*20),"")</f>
        <v/>
      </c>
      <c r="L81" s="12" t="str">
        <f aca="false">IF(AND(K81&lt;&gt;"",J81&lt;&gt;""),K81*J81,"")</f>
        <v/>
      </c>
      <c r="M81" s="13" t="str">
        <f aca="false">IF(AND(F81&lt;&gt;"",G81&lt;&gt;"",H81&lt;&gt;""),IF(E81="Long",(H81-F81)/(F81-G81),(F81-H81)/(G81-F81)),"")</f>
        <v/>
      </c>
      <c r="N81" s="13" t="str">
        <f aca="false">IF(AND(F81&lt;&gt;"",G81&lt;&gt;"",I81&lt;&gt;""),IF(E81="Long",(I81-F81)/(F81-G81),(F81-I81)/(G81-F81)),"")</f>
        <v/>
      </c>
      <c r="O81" s="9" t="str">
        <f aca="false">IF(L81="","",IF(L81&gt;0,"Win",IF(L81&lt;0,"Loss","Break Even")))</f>
        <v/>
      </c>
      <c r="P81" s="9"/>
      <c r="Q81" s="9"/>
      <c r="R81" s="9"/>
    </row>
    <row r="82" customFormat="false" ht="15" hidden="false" customHeight="false" outlineLevel="0" collapsed="false">
      <c r="A82" s="4" t="str">
        <f aca="false">IF(B82&lt;&gt;"",ROW()-3,"")</f>
        <v/>
      </c>
      <c r="B82" s="5"/>
      <c r="C82" s="4" t="str">
        <f aca="false">IF(B82&lt;&gt;"",TEXT(B82,"DDDD"),"")</f>
        <v/>
      </c>
      <c r="D82" s="4"/>
      <c r="E82" s="4"/>
      <c r="F82" s="4"/>
      <c r="G82" s="4"/>
      <c r="H82" s="4"/>
      <c r="I82" s="4"/>
      <c r="J82" s="4"/>
      <c r="K82" s="6" t="str">
        <f aca="false">IF(AND(B82&lt;&gt;"",I82&lt;&gt;"",F82&lt;&gt;""),IF(E82="Long",(I82-F82)*20,(F82-I82)*20),"")</f>
        <v/>
      </c>
      <c r="L82" s="7" t="str">
        <f aca="false">IF(AND(K82&lt;&gt;"",J82&lt;&gt;""),K82*J82,"")</f>
        <v/>
      </c>
      <c r="M82" s="8" t="str">
        <f aca="false">IF(AND(F82&lt;&gt;"",G82&lt;&gt;"",H82&lt;&gt;""),IF(E82="Long",(H82-F82)/(F82-G82),(F82-H82)/(G82-F82)),"")</f>
        <v/>
      </c>
      <c r="N82" s="8" t="str">
        <f aca="false">IF(AND(F82&lt;&gt;"",G82&lt;&gt;"",I82&lt;&gt;""),IF(E82="Long",(I82-F82)/(F82-G82),(F82-I82)/(G82-F82)),"")</f>
        <v/>
      </c>
      <c r="O82" s="4" t="str">
        <f aca="false">IF(L82="","",IF(L82&gt;0,"Win",IF(L82&lt;0,"Loss","Break Even")))</f>
        <v/>
      </c>
      <c r="P82" s="4"/>
      <c r="Q82" s="4"/>
      <c r="R82" s="4"/>
    </row>
    <row r="83" customFormat="false" ht="15" hidden="false" customHeight="false" outlineLevel="0" collapsed="false">
      <c r="A83" s="9" t="str">
        <f aca="false">IF(B83&lt;&gt;"",ROW()-3,"")</f>
        <v/>
      </c>
      <c r="B83" s="10"/>
      <c r="C83" s="9" t="str">
        <f aca="false">IF(B83&lt;&gt;"",TEXT(B83,"DDDD"),"")</f>
        <v/>
      </c>
      <c r="D83" s="9"/>
      <c r="E83" s="9"/>
      <c r="F83" s="9"/>
      <c r="G83" s="9"/>
      <c r="H83" s="9"/>
      <c r="I83" s="9"/>
      <c r="J83" s="9"/>
      <c r="K83" s="11" t="str">
        <f aca="false">IF(AND(B83&lt;&gt;"",I83&lt;&gt;"",F83&lt;&gt;""),IF(E83="Long",(I83-F83)*20,(F83-I83)*20),"")</f>
        <v/>
      </c>
      <c r="L83" s="12" t="str">
        <f aca="false">IF(AND(K83&lt;&gt;"",J83&lt;&gt;""),K83*J83,"")</f>
        <v/>
      </c>
      <c r="M83" s="13" t="str">
        <f aca="false">IF(AND(F83&lt;&gt;"",G83&lt;&gt;"",H83&lt;&gt;""),IF(E83="Long",(H83-F83)/(F83-G83),(F83-H83)/(G83-F83)),"")</f>
        <v/>
      </c>
      <c r="N83" s="13" t="str">
        <f aca="false">IF(AND(F83&lt;&gt;"",G83&lt;&gt;"",I83&lt;&gt;""),IF(E83="Long",(I83-F83)/(F83-G83),(F83-I83)/(G83-F83)),"")</f>
        <v/>
      </c>
      <c r="O83" s="9" t="str">
        <f aca="false">IF(L83="","",IF(L83&gt;0,"Win",IF(L83&lt;0,"Loss","Break Even")))</f>
        <v/>
      </c>
      <c r="P83" s="9"/>
      <c r="Q83" s="9"/>
      <c r="R83" s="9"/>
    </row>
    <row r="84" customFormat="false" ht="15" hidden="false" customHeight="false" outlineLevel="0" collapsed="false">
      <c r="A84" s="4" t="str">
        <f aca="false">IF(B84&lt;&gt;"",ROW()-3,"")</f>
        <v/>
      </c>
      <c r="B84" s="5"/>
      <c r="C84" s="4" t="str">
        <f aca="false">IF(B84&lt;&gt;"",TEXT(B84,"DDDD"),"")</f>
        <v/>
      </c>
      <c r="D84" s="4"/>
      <c r="E84" s="4"/>
      <c r="F84" s="4"/>
      <c r="G84" s="4"/>
      <c r="H84" s="4"/>
      <c r="I84" s="4"/>
      <c r="J84" s="4"/>
      <c r="K84" s="6" t="str">
        <f aca="false">IF(AND(B84&lt;&gt;"",I84&lt;&gt;"",F84&lt;&gt;""),IF(E84="Long",(I84-F84)*20,(F84-I84)*20),"")</f>
        <v/>
      </c>
      <c r="L84" s="7" t="str">
        <f aca="false">IF(AND(K84&lt;&gt;"",J84&lt;&gt;""),K84*J84,"")</f>
        <v/>
      </c>
      <c r="M84" s="8" t="str">
        <f aca="false">IF(AND(F84&lt;&gt;"",G84&lt;&gt;"",H84&lt;&gt;""),IF(E84="Long",(H84-F84)/(F84-G84),(F84-H84)/(G84-F84)),"")</f>
        <v/>
      </c>
      <c r="N84" s="8" t="str">
        <f aca="false">IF(AND(F84&lt;&gt;"",G84&lt;&gt;"",I84&lt;&gt;""),IF(E84="Long",(I84-F84)/(F84-G84),(F84-I84)/(G84-F84)),"")</f>
        <v/>
      </c>
      <c r="O84" s="4" t="str">
        <f aca="false">IF(L84="","",IF(L84&gt;0,"Win",IF(L84&lt;0,"Loss","Break Even")))</f>
        <v/>
      </c>
      <c r="P84" s="4"/>
      <c r="Q84" s="4"/>
      <c r="R84" s="4"/>
    </row>
    <row r="85" customFormat="false" ht="15" hidden="false" customHeight="false" outlineLevel="0" collapsed="false">
      <c r="A85" s="9" t="str">
        <f aca="false">IF(B85&lt;&gt;"",ROW()-3,"")</f>
        <v/>
      </c>
      <c r="B85" s="10"/>
      <c r="C85" s="9" t="str">
        <f aca="false">IF(B85&lt;&gt;"",TEXT(B85,"DDDD"),"")</f>
        <v/>
      </c>
      <c r="D85" s="9"/>
      <c r="E85" s="9"/>
      <c r="F85" s="9"/>
      <c r="G85" s="9"/>
      <c r="H85" s="9"/>
      <c r="I85" s="9"/>
      <c r="J85" s="9"/>
      <c r="K85" s="11" t="str">
        <f aca="false">IF(AND(B85&lt;&gt;"",I85&lt;&gt;"",F85&lt;&gt;""),IF(E85="Long",(I85-F85)*20,(F85-I85)*20),"")</f>
        <v/>
      </c>
      <c r="L85" s="12" t="str">
        <f aca="false">IF(AND(K85&lt;&gt;"",J85&lt;&gt;""),K85*J85,"")</f>
        <v/>
      </c>
      <c r="M85" s="13" t="str">
        <f aca="false">IF(AND(F85&lt;&gt;"",G85&lt;&gt;"",H85&lt;&gt;""),IF(E85="Long",(H85-F85)/(F85-G85),(F85-H85)/(G85-F85)),"")</f>
        <v/>
      </c>
      <c r="N85" s="13" t="str">
        <f aca="false">IF(AND(F85&lt;&gt;"",G85&lt;&gt;"",I85&lt;&gt;""),IF(E85="Long",(I85-F85)/(F85-G85),(F85-I85)/(G85-F85)),"")</f>
        <v/>
      </c>
      <c r="O85" s="9" t="str">
        <f aca="false">IF(L85="","",IF(L85&gt;0,"Win",IF(L85&lt;0,"Loss","Break Even")))</f>
        <v/>
      </c>
      <c r="P85" s="9"/>
      <c r="Q85" s="9"/>
      <c r="R85" s="9"/>
    </row>
    <row r="86" customFormat="false" ht="15" hidden="false" customHeight="false" outlineLevel="0" collapsed="false">
      <c r="A86" s="4" t="str">
        <f aca="false">IF(B86&lt;&gt;"",ROW()-3,"")</f>
        <v/>
      </c>
      <c r="B86" s="5"/>
      <c r="C86" s="4" t="str">
        <f aca="false">IF(B86&lt;&gt;"",TEXT(B86,"DDDD"),"")</f>
        <v/>
      </c>
      <c r="D86" s="4"/>
      <c r="E86" s="4"/>
      <c r="F86" s="4"/>
      <c r="G86" s="4"/>
      <c r="H86" s="4"/>
      <c r="I86" s="4"/>
      <c r="J86" s="4"/>
      <c r="K86" s="6" t="str">
        <f aca="false">IF(AND(B86&lt;&gt;"",I86&lt;&gt;"",F86&lt;&gt;""),IF(E86="Long",(I86-F86)*20,(F86-I86)*20),"")</f>
        <v/>
      </c>
      <c r="L86" s="7" t="str">
        <f aca="false">IF(AND(K86&lt;&gt;"",J86&lt;&gt;""),K86*J86,"")</f>
        <v/>
      </c>
      <c r="M86" s="8" t="str">
        <f aca="false">IF(AND(F86&lt;&gt;"",G86&lt;&gt;"",H86&lt;&gt;""),IF(E86="Long",(H86-F86)/(F86-G86),(F86-H86)/(G86-F86)),"")</f>
        <v/>
      </c>
      <c r="N86" s="8" t="str">
        <f aca="false">IF(AND(F86&lt;&gt;"",G86&lt;&gt;"",I86&lt;&gt;""),IF(E86="Long",(I86-F86)/(F86-G86),(F86-I86)/(G86-F86)),"")</f>
        <v/>
      </c>
      <c r="O86" s="4" t="str">
        <f aca="false">IF(L86="","",IF(L86&gt;0,"Win",IF(L86&lt;0,"Loss","Break Even")))</f>
        <v/>
      </c>
      <c r="P86" s="4"/>
      <c r="Q86" s="4"/>
      <c r="R86" s="4"/>
    </row>
    <row r="87" customFormat="false" ht="15" hidden="false" customHeight="false" outlineLevel="0" collapsed="false">
      <c r="A87" s="9" t="str">
        <f aca="false">IF(B87&lt;&gt;"",ROW()-3,"")</f>
        <v/>
      </c>
      <c r="B87" s="10"/>
      <c r="C87" s="9" t="str">
        <f aca="false">IF(B87&lt;&gt;"",TEXT(B87,"DDDD"),"")</f>
        <v/>
      </c>
      <c r="D87" s="9"/>
      <c r="E87" s="9"/>
      <c r="F87" s="9"/>
      <c r="G87" s="9"/>
      <c r="H87" s="9"/>
      <c r="I87" s="9"/>
      <c r="J87" s="9"/>
      <c r="K87" s="11" t="str">
        <f aca="false">IF(AND(B87&lt;&gt;"",I87&lt;&gt;"",F87&lt;&gt;""),IF(E87="Long",(I87-F87)*20,(F87-I87)*20),"")</f>
        <v/>
      </c>
      <c r="L87" s="12" t="str">
        <f aca="false">IF(AND(K87&lt;&gt;"",J87&lt;&gt;""),K87*J87,"")</f>
        <v/>
      </c>
      <c r="M87" s="13" t="str">
        <f aca="false">IF(AND(F87&lt;&gt;"",G87&lt;&gt;"",H87&lt;&gt;""),IF(E87="Long",(H87-F87)/(F87-G87),(F87-H87)/(G87-F87)),"")</f>
        <v/>
      </c>
      <c r="N87" s="13" t="str">
        <f aca="false">IF(AND(F87&lt;&gt;"",G87&lt;&gt;"",I87&lt;&gt;""),IF(E87="Long",(I87-F87)/(F87-G87),(F87-I87)/(G87-F87)),"")</f>
        <v/>
      </c>
      <c r="O87" s="9" t="str">
        <f aca="false">IF(L87="","",IF(L87&gt;0,"Win",IF(L87&lt;0,"Loss","Break Even")))</f>
        <v/>
      </c>
      <c r="P87" s="9"/>
      <c r="Q87" s="9"/>
      <c r="R87" s="9"/>
    </row>
    <row r="88" customFormat="false" ht="15" hidden="false" customHeight="false" outlineLevel="0" collapsed="false">
      <c r="A88" s="4" t="str">
        <f aca="false">IF(B88&lt;&gt;"",ROW()-3,"")</f>
        <v/>
      </c>
      <c r="B88" s="5"/>
      <c r="C88" s="4" t="str">
        <f aca="false">IF(B88&lt;&gt;"",TEXT(B88,"DDDD"),"")</f>
        <v/>
      </c>
      <c r="D88" s="4"/>
      <c r="E88" s="4"/>
      <c r="F88" s="4"/>
      <c r="G88" s="4"/>
      <c r="H88" s="4"/>
      <c r="I88" s="4"/>
      <c r="J88" s="4"/>
      <c r="K88" s="6" t="str">
        <f aca="false">IF(AND(B88&lt;&gt;"",I88&lt;&gt;"",F88&lt;&gt;""),IF(E88="Long",(I88-F88)*20,(F88-I88)*20),"")</f>
        <v/>
      </c>
      <c r="L88" s="7" t="str">
        <f aca="false">IF(AND(K88&lt;&gt;"",J88&lt;&gt;""),K88*J88,"")</f>
        <v/>
      </c>
      <c r="M88" s="8" t="str">
        <f aca="false">IF(AND(F88&lt;&gt;"",G88&lt;&gt;"",H88&lt;&gt;""),IF(E88="Long",(H88-F88)/(F88-G88),(F88-H88)/(G88-F88)),"")</f>
        <v/>
      </c>
      <c r="N88" s="8" t="str">
        <f aca="false">IF(AND(F88&lt;&gt;"",G88&lt;&gt;"",I88&lt;&gt;""),IF(E88="Long",(I88-F88)/(F88-G88),(F88-I88)/(G88-F88)),"")</f>
        <v/>
      </c>
      <c r="O88" s="4" t="str">
        <f aca="false">IF(L88="","",IF(L88&gt;0,"Win",IF(L88&lt;0,"Loss","Break Even")))</f>
        <v/>
      </c>
      <c r="P88" s="4"/>
      <c r="Q88" s="4"/>
      <c r="R88" s="4"/>
    </row>
    <row r="89" customFormat="false" ht="15" hidden="false" customHeight="false" outlineLevel="0" collapsed="false">
      <c r="A89" s="9" t="str">
        <f aca="false">IF(B89&lt;&gt;"",ROW()-3,"")</f>
        <v/>
      </c>
      <c r="B89" s="10"/>
      <c r="C89" s="9" t="str">
        <f aca="false">IF(B89&lt;&gt;"",TEXT(B89,"DDDD"),"")</f>
        <v/>
      </c>
      <c r="D89" s="9"/>
      <c r="E89" s="9"/>
      <c r="F89" s="9"/>
      <c r="G89" s="9"/>
      <c r="H89" s="9"/>
      <c r="I89" s="9"/>
      <c r="J89" s="9"/>
      <c r="K89" s="11" t="str">
        <f aca="false">IF(AND(B89&lt;&gt;"",I89&lt;&gt;"",F89&lt;&gt;""),IF(E89="Long",(I89-F89)*20,(F89-I89)*20),"")</f>
        <v/>
      </c>
      <c r="L89" s="12" t="str">
        <f aca="false">IF(AND(K89&lt;&gt;"",J89&lt;&gt;""),K89*J89,"")</f>
        <v/>
      </c>
      <c r="M89" s="13" t="str">
        <f aca="false">IF(AND(F89&lt;&gt;"",G89&lt;&gt;"",H89&lt;&gt;""),IF(E89="Long",(H89-F89)/(F89-G89),(F89-H89)/(G89-F89)),"")</f>
        <v/>
      </c>
      <c r="N89" s="13" t="str">
        <f aca="false">IF(AND(F89&lt;&gt;"",G89&lt;&gt;"",I89&lt;&gt;""),IF(E89="Long",(I89-F89)/(F89-G89),(F89-I89)/(G89-F89)),"")</f>
        <v/>
      </c>
      <c r="O89" s="9" t="str">
        <f aca="false">IF(L89="","",IF(L89&gt;0,"Win",IF(L89&lt;0,"Loss","Break Even")))</f>
        <v/>
      </c>
      <c r="P89" s="9"/>
      <c r="Q89" s="9"/>
      <c r="R89" s="9"/>
    </row>
    <row r="90" customFormat="false" ht="15" hidden="false" customHeight="false" outlineLevel="0" collapsed="false">
      <c r="A90" s="4" t="str">
        <f aca="false">IF(B90&lt;&gt;"",ROW()-3,"")</f>
        <v/>
      </c>
      <c r="B90" s="5"/>
      <c r="C90" s="4" t="str">
        <f aca="false">IF(B90&lt;&gt;"",TEXT(B90,"DDDD"),"")</f>
        <v/>
      </c>
      <c r="D90" s="4"/>
      <c r="E90" s="4"/>
      <c r="F90" s="4"/>
      <c r="G90" s="4"/>
      <c r="H90" s="4"/>
      <c r="I90" s="4"/>
      <c r="J90" s="4"/>
      <c r="K90" s="6" t="str">
        <f aca="false">IF(AND(B90&lt;&gt;"",I90&lt;&gt;"",F90&lt;&gt;""),IF(E90="Long",(I90-F90)*20,(F90-I90)*20),"")</f>
        <v/>
      </c>
      <c r="L90" s="7" t="str">
        <f aca="false">IF(AND(K90&lt;&gt;"",J90&lt;&gt;""),K90*J90,"")</f>
        <v/>
      </c>
      <c r="M90" s="8" t="str">
        <f aca="false">IF(AND(F90&lt;&gt;"",G90&lt;&gt;"",H90&lt;&gt;""),IF(E90="Long",(H90-F90)/(F90-G90),(F90-H90)/(G90-F90)),"")</f>
        <v/>
      </c>
      <c r="N90" s="8" t="str">
        <f aca="false">IF(AND(F90&lt;&gt;"",G90&lt;&gt;"",I90&lt;&gt;""),IF(E90="Long",(I90-F90)/(F90-G90),(F90-I90)/(G90-F90)),"")</f>
        <v/>
      </c>
      <c r="O90" s="4" t="str">
        <f aca="false">IF(L90="","",IF(L90&gt;0,"Win",IF(L90&lt;0,"Loss","Break Even")))</f>
        <v/>
      </c>
      <c r="P90" s="4"/>
      <c r="Q90" s="4"/>
      <c r="R90" s="4"/>
    </row>
    <row r="91" customFormat="false" ht="15" hidden="false" customHeight="false" outlineLevel="0" collapsed="false">
      <c r="A91" s="9" t="str">
        <f aca="false">IF(B91&lt;&gt;"",ROW()-3,"")</f>
        <v/>
      </c>
      <c r="B91" s="10"/>
      <c r="C91" s="9" t="str">
        <f aca="false">IF(B91&lt;&gt;"",TEXT(B91,"DDDD"),"")</f>
        <v/>
      </c>
      <c r="D91" s="9"/>
      <c r="E91" s="9"/>
      <c r="F91" s="9"/>
      <c r="G91" s="9"/>
      <c r="H91" s="9"/>
      <c r="I91" s="9"/>
      <c r="J91" s="9"/>
      <c r="K91" s="11" t="str">
        <f aca="false">IF(AND(B91&lt;&gt;"",I91&lt;&gt;"",F91&lt;&gt;""),IF(E91="Long",(I91-F91)*20,(F91-I91)*20),"")</f>
        <v/>
      </c>
      <c r="L91" s="12" t="str">
        <f aca="false">IF(AND(K91&lt;&gt;"",J91&lt;&gt;""),K91*J91,"")</f>
        <v/>
      </c>
      <c r="M91" s="13" t="str">
        <f aca="false">IF(AND(F91&lt;&gt;"",G91&lt;&gt;"",H91&lt;&gt;""),IF(E91="Long",(H91-F91)/(F91-G91),(F91-H91)/(G91-F91)),"")</f>
        <v/>
      </c>
      <c r="N91" s="13" t="str">
        <f aca="false">IF(AND(F91&lt;&gt;"",G91&lt;&gt;"",I91&lt;&gt;""),IF(E91="Long",(I91-F91)/(F91-G91),(F91-I91)/(G91-F91)),"")</f>
        <v/>
      </c>
      <c r="O91" s="9" t="str">
        <f aca="false">IF(L91="","",IF(L91&gt;0,"Win",IF(L91&lt;0,"Loss","Break Even")))</f>
        <v/>
      </c>
      <c r="P91" s="9"/>
      <c r="Q91" s="9"/>
      <c r="R91" s="9"/>
    </row>
    <row r="92" customFormat="false" ht="15" hidden="false" customHeight="false" outlineLevel="0" collapsed="false">
      <c r="A92" s="4" t="str">
        <f aca="false">IF(B92&lt;&gt;"",ROW()-3,"")</f>
        <v/>
      </c>
      <c r="B92" s="5"/>
      <c r="C92" s="4" t="str">
        <f aca="false">IF(B92&lt;&gt;"",TEXT(B92,"DDDD"),"")</f>
        <v/>
      </c>
      <c r="D92" s="4"/>
      <c r="E92" s="4"/>
      <c r="F92" s="4"/>
      <c r="G92" s="4"/>
      <c r="H92" s="4"/>
      <c r="I92" s="4"/>
      <c r="J92" s="4"/>
      <c r="K92" s="6" t="str">
        <f aca="false">IF(AND(B92&lt;&gt;"",I92&lt;&gt;"",F92&lt;&gt;""),IF(E92="Long",(I92-F92)*20,(F92-I92)*20),"")</f>
        <v/>
      </c>
      <c r="L92" s="7" t="str">
        <f aca="false">IF(AND(K92&lt;&gt;"",J92&lt;&gt;""),K92*J92,"")</f>
        <v/>
      </c>
      <c r="M92" s="8" t="str">
        <f aca="false">IF(AND(F92&lt;&gt;"",G92&lt;&gt;"",H92&lt;&gt;""),IF(E92="Long",(H92-F92)/(F92-G92),(F92-H92)/(G92-F92)),"")</f>
        <v/>
      </c>
      <c r="N92" s="8" t="str">
        <f aca="false">IF(AND(F92&lt;&gt;"",G92&lt;&gt;"",I92&lt;&gt;""),IF(E92="Long",(I92-F92)/(F92-G92),(F92-I92)/(G92-F92)),"")</f>
        <v/>
      </c>
      <c r="O92" s="4" t="str">
        <f aca="false">IF(L92="","",IF(L92&gt;0,"Win",IF(L92&lt;0,"Loss","Break Even")))</f>
        <v/>
      </c>
      <c r="P92" s="4"/>
      <c r="Q92" s="4"/>
      <c r="R92" s="4"/>
    </row>
    <row r="93" customFormat="false" ht="15" hidden="false" customHeight="false" outlineLevel="0" collapsed="false">
      <c r="A93" s="9" t="str">
        <f aca="false">IF(B93&lt;&gt;"",ROW()-3,"")</f>
        <v/>
      </c>
      <c r="B93" s="10"/>
      <c r="C93" s="9" t="str">
        <f aca="false">IF(B93&lt;&gt;"",TEXT(B93,"DDDD"),"")</f>
        <v/>
      </c>
      <c r="D93" s="9"/>
      <c r="E93" s="9"/>
      <c r="F93" s="9"/>
      <c r="G93" s="9"/>
      <c r="H93" s="9"/>
      <c r="I93" s="9"/>
      <c r="J93" s="9"/>
      <c r="K93" s="11" t="str">
        <f aca="false">IF(AND(B93&lt;&gt;"",I93&lt;&gt;"",F93&lt;&gt;""),IF(E93="Long",(I93-F93)*20,(F93-I93)*20),"")</f>
        <v/>
      </c>
      <c r="L93" s="12" t="str">
        <f aca="false">IF(AND(K93&lt;&gt;"",J93&lt;&gt;""),K93*J93,"")</f>
        <v/>
      </c>
      <c r="M93" s="13" t="str">
        <f aca="false">IF(AND(F93&lt;&gt;"",G93&lt;&gt;"",H93&lt;&gt;""),IF(E93="Long",(H93-F93)/(F93-G93),(F93-H93)/(G93-F93)),"")</f>
        <v/>
      </c>
      <c r="N93" s="13" t="str">
        <f aca="false">IF(AND(F93&lt;&gt;"",G93&lt;&gt;"",I93&lt;&gt;""),IF(E93="Long",(I93-F93)/(F93-G93),(F93-I93)/(G93-F93)),"")</f>
        <v/>
      </c>
      <c r="O93" s="9" t="str">
        <f aca="false">IF(L93="","",IF(L93&gt;0,"Win",IF(L93&lt;0,"Loss","Break Even")))</f>
        <v/>
      </c>
      <c r="P93" s="9"/>
      <c r="Q93" s="9"/>
      <c r="R93" s="9"/>
    </row>
    <row r="94" customFormat="false" ht="15" hidden="false" customHeight="false" outlineLevel="0" collapsed="false">
      <c r="A94" s="4" t="str">
        <f aca="false">IF(B94&lt;&gt;"",ROW()-3,"")</f>
        <v/>
      </c>
      <c r="B94" s="5"/>
      <c r="C94" s="4" t="str">
        <f aca="false">IF(B94&lt;&gt;"",TEXT(B94,"DDDD"),"")</f>
        <v/>
      </c>
      <c r="D94" s="4"/>
      <c r="E94" s="4"/>
      <c r="F94" s="4"/>
      <c r="G94" s="4"/>
      <c r="H94" s="4"/>
      <c r="I94" s="4"/>
      <c r="J94" s="4"/>
      <c r="K94" s="6" t="str">
        <f aca="false">IF(AND(B94&lt;&gt;"",I94&lt;&gt;"",F94&lt;&gt;""),IF(E94="Long",(I94-F94)*20,(F94-I94)*20),"")</f>
        <v/>
      </c>
      <c r="L94" s="7" t="str">
        <f aca="false">IF(AND(K94&lt;&gt;"",J94&lt;&gt;""),K94*J94,"")</f>
        <v/>
      </c>
      <c r="M94" s="8" t="str">
        <f aca="false">IF(AND(F94&lt;&gt;"",G94&lt;&gt;"",H94&lt;&gt;""),IF(E94="Long",(H94-F94)/(F94-G94),(F94-H94)/(G94-F94)),"")</f>
        <v/>
      </c>
      <c r="N94" s="8" t="str">
        <f aca="false">IF(AND(F94&lt;&gt;"",G94&lt;&gt;"",I94&lt;&gt;""),IF(E94="Long",(I94-F94)/(F94-G94),(F94-I94)/(G94-F94)),"")</f>
        <v/>
      </c>
      <c r="O94" s="4" t="str">
        <f aca="false">IF(L94="","",IF(L94&gt;0,"Win",IF(L94&lt;0,"Loss","Break Even")))</f>
        <v/>
      </c>
      <c r="P94" s="4"/>
      <c r="Q94" s="4"/>
      <c r="R94" s="4"/>
    </row>
    <row r="95" customFormat="false" ht="15" hidden="false" customHeight="false" outlineLevel="0" collapsed="false">
      <c r="A95" s="9" t="str">
        <f aca="false">IF(B95&lt;&gt;"",ROW()-3,"")</f>
        <v/>
      </c>
      <c r="B95" s="10"/>
      <c r="C95" s="9" t="str">
        <f aca="false">IF(B95&lt;&gt;"",TEXT(B95,"DDDD"),"")</f>
        <v/>
      </c>
      <c r="D95" s="9"/>
      <c r="E95" s="9"/>
      <c r="F95" s="9"/>
      <c r="G95" s="9"/>
      <c r="H95" s="9"/>
      <c r="I95" s="9"/>
      <c r="J95" s="9"/>
      <c r="K95" s="11" t="str">
        <f aca="false">IF(AND(B95&lt;&gt;"",I95&lt;&gt;"",F95&lt;&gt;""),IF(E95="Long",(I95-F95)*20,(F95-I95)*20),"")</f>
        <v/>
      </c>
      <c r="L95" s="12" t="str">
        <f aca="false">IF(AND(K95&lt;&gt;"",J95&lt;&gt;""),K95*J95,"")</f>
        <v/>
      </c>
      <c r="M95" s="13" t="str">
        <f aca="false">IF(AND(F95&lt;&gt;"",G95&lt;&gt;"",H95&lt;&gt;""),IF(E95="Long",(H95-F95)/(F95-G95),(F95-H95)/(G95-F95)),"")</f>
        <v/>
      </c>
      <c r="N95" s="13" t="str">
        <f aca="false">IF(AND(F95&lt;&gt;"",G95&lt;&gt;"",I95&lt;&gt;""),IF(E95="Long",(I95-F95)/(F95-G95),(F95-I95)/(G95-F95)),"")</f>
        <v/>
      </c>
      <c r="O95" s="9" t="str">
        <f aca="false">IF(L95="","",IF(L95&gt;0,"Win",IF(L95&lt;0,"Loss","Break Even")))</f>
        <v/>
      </c>
      <c r="P95" s="9"/>
      <c r="Q95" s="9"/>
      <c r="R95" s="9"/>
    </row>
    <row r="96" customFormat="false" ht="15" hidden="false" customHeight="false" outlineLevel="0" collapsed="false">
      <c r="A96" s="4" t="str">
        <f aca="false">IF(B96&lt;&gt;"",ROW()-3,"")</f>
        <v/>
      </c>
      <c r="B96" s="5"/>
      <c r="C96" s="4" t="str">
        <f aca="false">IF(B96&lt;&gt;"",TEXT(B96,"DDDD"),"")</f>
        <v/>
      </c>
      <c r="D96" s="4"/>
      <c r="E96" s="4"/>
      <c r="F96" s="4"/>
      <c r="G96" s="4"/>
      <c r="H96" s="4"/>
      <c r="I96" s="4"/>
      <c r="J96" s="4"/>
      <c r="K96" s="6" t="str">
        <f aca="false">IF(AND(B96&lt;&gt;"",I96&lt;&gt;"",F96&lt;&gt;""),IF(E96="Long",(I96-F96)*20,(F96-I96)*20),"")</f>
        <v/>
      </c>
      <c r="L96" s="7" t="str">
        <f aca="false">IF(AND(K96&lt;&gt;"",J96&lt;&gt;""),K96*J96,"")</f>
        <v/>
      </c>
      <c r="M96" s="8" t="str">
        <f aca="false">IF(AND(F96&lt;&gt;"",G96&lt;&gt;"",H96&lt;&gt;""),IF(E96="Long",(H96-F96)/(F96-G96),(F96-H96)/(G96-F96)),"")</f>
        <v/>
      </c>
      <c r="N96" s="8" t="str">
        <f aca="false">IF(AND(F96&lt;&gt;"",G96&lt;&gt;"",I96&lt;&gt;""),IF(E96="Long",(I96-F96)/(F96-G96),(F96-I96)/(G96-F96)),"")</f>
        <v/>
      </c>
      <c r="O96" s="4" t="str">
        <f aca="false">IF(L96="","",IF(L96&gt;0,"Win",IF(L96&lt;0,"Loss","Break Even")))</f>
        <v/>
      </c>
      <c r="P96" s="4"/>
      <c r="Q96" s="4"/>
      <c r="R96" s="4"/>
    </row>
    <row r="97" customFormat="false" ht="15" hidden="false" customHeight="false" outlineLevel="0" collapsed="false">
      <c r="A97" s="9" t="str">
        <f aca="false">IF(B97&lt;&gt;"",ROW()-3,"")</f>
        <v/>
      </c>
      <c r="B97" s="10"/>
      <c r="C97" s="9" t="str">
        <f aca="false">IF(B97&lt;&gt;"",TEXT(B97,"DDDD"),"")</f>
        <v/>
      </c>
      <c r="D97" s="9"/>
      <c r="E97" s="9"/>
      <c r="F97" s="9"/>
      <c r="G97" s="9"/>
      <c r="H97" s="9"/>
      <c r="I97" s="9"/>
      <c r="J97" s="9"/>
      <c r="K97" s="11" t="str">
        <f aca="false">IF(AND(B97&lt;&gt;"",I97&lt;&gt;"",F97&lt;&gt;""),IF(E97="Long",(I97-F97)*20,(F97-I97)*20),"")</f>
        <v/>
      </c>
      <c r="L97" s="12" t="str">
        <f aca="false">IF(AND(K97&lt;&gt;"",J97&lt;&gt;""),K97*J97,"")</f>
        <v/>
      </c>
      <c r="M97" s="13" t="str">
        <f aca="false">IF(AND(F97&lt;&gt;"",G97&lt;&gt;"",H97&lt;&gt;""),IF(E97="Long",(H97-F97)/(F97-G97),(F97-H97)/(G97-F97)),"")</f>
        <v/>
      </c>
      <c r="N97" s="13" t="str">
        <f aca="false">IF(AND(F97&lt;&gt;"",G97&lt;&gt;"",I97&lt;&gt;""),IF(E97="Long",(I97-F97)/(F97-G97),(F97-I97)/(G97-F97)),"")</f>
        <v/>
      </c>
      <c r="O97" s="9" t="str">
        <f aca="false">IF(L97="","",IF(L97&gt;0,"Win",IF(L97&lt;0,"Loss","Break Even")))</f>
        <v/>
      </c>
      <c r="P97" s="9"/>
      <c r="Q97" s="9"/>
      <c r="R97" s="9"/>
    </row>
    <row r="98" customFormat="false" ht="15" hidden="false" customHeight="false" outlineLevel="0" collapsed="false">
      <c r="A98" s="4" t="str">
        <f aca="false">IF(B98&lt;&gt;"",ROW()-3,"")</f>
        <v/>
      </c>
      <c r="B98" s="5"/>
      <c r="C98" s="4" t="str">
        <f aca="false">IF(B98&lt;&gt;"",TEXT(B98,"DDDD"),"")</f>
        <v/>
      </c>
      <c r="D98" s="4"/>
      <c r="E98" s="4"/>
      <c r="F98" s="4"/>
      <c r="G98" s="4"/>
      <c r="H98" s="4"/>
      <c r="I98" s="4"/>
      <c r="J98" s="4"/>
      <c r="K98" s="6" t="str">
        <f aca="false">IF(AND(B98&lt;&gt;"",I98&lt;&gt;"",F98&lt;&gt;""),IF(E98="Long",(I98-F98)*20,(F98-I98)*20),"")</f>
        <v/>
      </c>
      <c r="L98" s="7" t="str">
        <f aca="false">IF(AND(K98&lt;&gt;"",J98&lt;&gt;""),K98*J98,"")</f>
        <v/>
      </c>
      <c r="M98" s="8" t="str">
        <f aca="false">IF(AND(F98&lt;&gt;"",G98&lt;&gt;"",H98&lt;&gt;""),IF(E98="Long",(H98-F98)/(F98-G98),(F98-H98)/(G98-F98)),"")</f>
        <v/>
      </c>
      <c r="N98" s="8" t="str">
        <f aca="false">IF(AND(F98&lt;&gt;"",G98&lt;&gt;"",I98&lt;&gt;""),IF(E98="Long",(I98-F98)/(F98-G98),(F98-I98)/(G98-F98)),"")</f>
        <v/>
      </c>
      <c r="O98" s="4" t="str">
        <f aca="false">IF(L98="","",IF(L98&gt;0,"Win",IF(L98&lt;0,"Loss","Break Even")))</f>
        <v/>
      </c>
      <c r="P98" s="4"/>
      <c r="Q98" s="4"/>
      <c r="R98" s="4"/>
    </row>
    <row r="99" customFormat="false" ht="15" hidden="false" customHeight="false" outlineLevel="0" collapsed="false">
      <c r="A99" s="9" t="str">
        <f aca="false">IF(B99&lt;&gt;"",ROW()-3,"")</f>
        <v/>
      </c>
      <c r="B99" s="10"/>
      <c r="C99" s="9" t="str">
        <f aca="false">IF(B99&lt;&gt;"",TEXT(B99,"DDDD"),"")</f>
        <v/>
      </c>
      <c r="D99" s="9"/>
      <c r="E99" s="9"/>
      <c r="F99" s="9"/>
      <c r="G99" s="9"/>
      <c r="H99" s="9"/>
      <c r="I99" s="9"/>
      <c r="J99" s="9"/>
      <c r="K99" s="11" t="str">
        <f aca="false">IF(AND(B99&lt;&gt;"",I99&lt;&gt;"",F99&lt;&gt;""),IF(E99="Long",(I99-F99)*20,(F99-I99)*20),"")</f>
        <v/>
      </c>
      <c r="L99" s="12" t="str">
        <f aca="false">IF(AND(K99&lt;&gt;"",J99&lt;&gt;""),K99*J99,"")</f>
        <v/>
      </c>
      <c r="M99" s="13" t="str">
        <f aca="false">IF(AND(F99&lt;&gt;"",G99&lt;&gt;"",H99&lt;&gt;""),IF(E99="Long",(H99-F99)/(F99-G99),(F99-H99)/(G99-F99)),"")</f>
        <v/>
      </c>
      <c r="N99" s="13" t="str">
        <f aca="false">IF(AND(F99&lt;&gt;"",G99&lt;&gt;"",I99&lt;&gt;""),IF(E99="Long",(I99-F99)/(F99-G99),(F99-I99)/(G99-F99)),"")</f>
        <v/>
      </c>
      <c r="O99" s="9" t="str">
        <f aca="false">IF(L99="","",IF(L99&gt;0,"Win",IF(L99&lt;0,"Loss","Break Even")))</f>
        <v/>
      </c>
      <c r="P99" s="9"/>
      <c r="Q99" s="9"/>
      <c r="R99" s="9"/>
    </row>
    <row r="100" customFormat="false" ht="15" hidden="false" customHeight="false" outlineLevel="0" collapsed="false">
      <c r="A100" s="4" t="str">
        <f aca="false">IF(B100&lt;&gt;"",ROW()-3,"")</f>
        <v/>
      </c>
      <c r="B100" s="5"/>
      <c r="C100" s="4" t="str">
        <f aca="false">IF(B100&lt;&gt;"",TEXT(B100,"DDDD"),"")</f>
        <v/>
      </c>
      <c r="D100" s="4"/>
      <c r="E100" s="4"/>
      <c r="F100" s="4"/>
      <c r="G100" s="4"/>
      <c r="H100" s="4"/>
      <c r="I100" s="4"/>
      <c r="J100" s="4"/>
      <c r="K100" s="6" t="str">
        <f aca="false">IF(AND(B100&lt;&gt;"",I100&lt;&gt;"",F100&lt;&gt;""),IF(E100="Long",(I100-F100)*20,(F100-I100)*20),"")</f>
        <v/>
      </c>
      <c r="L100" s="7" t="str">
        <f aca="false">IF(AND(K100&lt;&gt;"",J100&lt;&gt;""),K100*J100,"")</f>
        <v/>
      </c>
      <c r="M100" s="8" t="str">
        <f aca="false">IF(AND(F100&lt;&gt;"",G100&lt;&gt;"",H100&lt;&gt;""),IF(E100="Long",(H100-F100)/(F100-G100),(F100-H100)/(G100-F100)),"")</f>
        <v/>
      </c>
      <c r="N100" s="8" t="str">
        <f aca="false">IF(AND(F100&lt;&gt;"",G100&lt;&gt;"",I100&lt;&gt;""),IF(E100="Long",(I100-F100)/(F100-G100),(F100-I100)/(G100-F100)),"")</f>
        <v/>
      </c>
      <c r="O100" s="4" t="str">
        <f aca="false">IF(L100="","",IF(L100&gt;0,"Win",IF(L100&lt;0,"Loss","Break Even")))</f>
        <v/>
      </c>
      <c r="P100" s="4"/>
      <c r="Q100" s="4"/>
      <c r="R100" s="4"/>
    </row>
    <row r="101" customFormat="false" ht="15" hidden="false" customHeight="false" outlineLevel="0" collapsed="false">
      <c r="A101" s="9" t="str">
        <f aca="false">IF(B101&lt;&gt;"",ROW()-3,"")</f>
        <v/>
      </c>
      <c r="B101" s="10"/>
      <c r="C101" s="9" t="str">
        <f aca="false">IF(B101&lt;&gt;"",TEXT(B101,"DDDD"),"")</f>
        <v/>
      </c>
      <c r="D101" s="9"/>
      <c r="E101" s="9"/>
      <c r="F101" s="9"/>
      <c r="G101" s="9"/>
      <c r="H101" s="9"/>
      <c r="I101" s="9"/>
      <c r="J101" s="9"/>
      <c r="K101" s="11" t="str">
        <f aca="false">IF(AND(B101&lt;&gt;"",I101&lt;&gt;"",F101&lt;&gt;""),IF(E101="Long",(I101-F101)*20,(F101-I101)*20),"")</f>
        <v/>
      </c>
      <c r="L101" s="12" t="str">
        <f aca="false">IF(AND(K101&lt;&gt;"",J101&lt;&gt;""),K101*J101,"")</f>
        <v/>
      </c>
      <c r="M101" s="13" t="str">
        <f aca="false">IF(AND(F101&lt;&gt;"",G101&lt;&gt;"",H101&lt;&gt;""),IF(E101="Long",(H101-F101)/(F101-G101),(F101-H101)/(G101-F101)),"")</f>
        <v/>
      </c>
      <c r="N101" s="13" t="str">
        <f aca="false">IF(AND(F101&lt;&gt;"",G101&lt;&gt;"",I101&lt;&gt;""),IF(E101="Long",(I101-F101)/(F101-G101),(F101-I101)/(G101-F101)),"")</f>
        <v/>
      </c>
      <c r="O101" s="9" t="str">
        <f aca="false">IF(L101="","",IF(L101&gt;0,"Win",IF(L101&lt;0,"Loss","Break Even")))</f>
        <v/>
      </c>
      <c r="P101" s="9"/>
      <c r="Q101" s="9"/>
      <c r="R101" s="9"/>
    </row>
    <row r="102" customFormat="false" ht="15" hidden="false" customHeight="false" outlineLevel="0" collapsed="false">
      <c r="A102" s="4" t="str">
        <f aca="false">IF(B102&lt;&gt;"",ROW()-3,"")</f>
        <v/>
      </c>
      <c r="B102" s="5"/>
      <c r="C102" s="4" t="str">
        <f aca="false">IF(B102&lt;&gt;"",TEXT(B102,"DDDD"),"")</f>
        <v/>
      </c>
      <c r="D102" s="4"/>
      <c r="E102" s="4"/>
      <c r="F102" s="4"/>
      <c r="G102" s="4"/>
      <c r="H102" s="4"/>
      <c r="I102" s="4"/>
      <c r="J102" s="4"/>
      <c r="K102" s="6" t="str">
        <f aca="false">IF(AND(B102&lt;&gt;"",I102&lt;&gt;"",F102&lt;&gt;""),IF(E102="Long",(I102-F102)*20,(F102-I102)*20),"")</f>
        <v/>
      </c>
      <c r="L102" s="7" t="str">
        <f aca="false">IF(AND(K102&lt;&gt;"",J102&lt;&gt;""),K102*J102,"")</f>
        <v/>
      </c>
      <c r="M102" s="8" t="str">
        <f aca="false">IF(AND(F102&lt;&gt;"",G102&lt;&gt;"",H102&lt;&gt;""),IF(E102="Long",(H102-F102)/(F102-G102),(F102-H102)/(G102-F102)),"")</f>
        <v/>
      </c>
      <c r="N102" s="8" t="str">
        <f aca="false">IF(AND(F102&lt;&gt;"",G102&lt;&gt;"",I102&lt;&gt;""),IF(E102="Long",(I102-F102)/(F102-G102),(F102-I102)/(G102-F102)),"")</f>
        <v/>
      </c>
      <c r="O102" s="4" t="str">
        <f aca="false">IF(L102="","",IF(L102&gt;0,"Win",IF(L102&lt;0,"Loss","Break Even")))</f>
        <v/>
      </c>
      <c r="P102" s="4"/>
      <c r="Q102" s="4"/>
      <c r="R102" s="4"/>
    </row>
    <row r="103" customFormat="false" ht="15" hidden="false" customHeight="false" outlineLevel="0" collapsed="false">
      <c r="A103" s="9" t="str">
        <f aca="false">IF(B103&lt;&gt;"",ROW()-3,"")</f>
        <v/>
      </c>
      <c r="B103" s="10"/>
      <c r="C103" s="9" t="str">
        <f aca="false">IF(B103&lt;&gt;"",TEXT(B103,"DDDD"),"")</f>
        <v/>
      </c>
      <c r="D103" s="9"/>
      <c r="E103" s="9"/>
      <c r="F103" s="9"/>
      <c r="G103" s="9"/>
      <c r="H103" s="9"/>
      <c r="I103" s="9"/>
      <c r="J103" s="9"/>
      <c r="K103" s="11" t="str">
        <f aca="false">IF(AND(B103&lt;&gt;"",I103&lt;&gt;"",F103&lt;&gt;""),IF(E103="Long",(I103-F103)*20,(F103-I103)*20),"")</f>
        <v/>
      </c>
      <c r="L103" s="12" t="str">
        <f aca="false">IF(AND(K103&lt;&gt;"",J103&lt;&gt;""),K103*J103,"")</f>
        <v/>
      </c>
      <c r="M103" s="13" t="str">
        <f aca="false">IF(AND(F103&lt;&gt;"",G103&lt;&gt;"",H103&lt;&gt;""),IF(E103="Long",(H103-F103)/(F103-G103),(F103-H103)/(G103-F103)),"")</f>
        <v/>
      </c>
      <c r="N103" s="13" t="str">
        <f aca="false">IF(AND(F103&lt;&gt;"",G103&lt;&gt;"",I103&lt;&gt;""),IF(E103="Long",(I103-F103)/(F103-G103),(F103-I103)/(G103-F103)),"")</f>
        <v/>
      </c>
      <c r="O103" s="9" t="str">
        <f aca="false">IF(L103="","",IF(L103&gt;0,"Win",IF(L103&lt;0,"Loss","Break Even")))</f>
        <v/>
      </c>
      <c r="P103" s="9"/>
      <c r="Q103" s="9"/>
      <c r="R103" s="9"/>
    </row>
    <row r="104" customFormat="false" ht="15" hidden="false" customHeight="false" outlineLevel="0" collapsed="false">
      <c r="A104" s="4" t="str">
        <f aca="false">IF(B104&lt;&gt;"",ROW()-3,"")</f>
        <v/>
      </c>
      <c r="B104" s="5"/>
      <c r="C104" s="4" t="str">
        <f aca="false">IF(B104&lt;&gt;"",TEXT(B104,"DDDD"),"")</f>
        <v/>
      </c>
      <c r="D104" s="4"/>
      <c r="E104" s="4"/>
      <c r="F104" s="4"/>
      <c r="G104" s="4"/>
      <c r="H104" s="4"/>
      <c r="I104" s="4"/>
      <c r="J104" s="4"/>
      <c r="K104" s="6" t="str">
        <f aca="false">IF(AND(B104&lt;&gt;"",I104&lt;&gt;"",F104&lt;&gt;""),IF(E104="Long",(I104-F104)*20,(F104-I104)*20),"")</f>
        <v/>
      </c>
      <c r="L104" s="7" t="str">
        <f aca="false">IF(AND(K104&lt;&gt;"",J104&lt;&gt;""),K104*J104,"")</f>
        <v/>
      </c>
      <c r="M104" s="8" t="str">
        <f aca="false">IF(AND(F104&lt;&gt;"",G104&lt;&gt;"",H104&lt;&gt;""),IF(E104="Long",(H104-F104)/(F104-G104),(F104-H104)/(G104-F104)),"")</f>
        <v/>
      </c>
      <c r="N104" s="8" t="str">
        <f aca="false">IF(AND(F104&lt;&gt;"",G104&lt;&gt;"",I104&lt;&gt;""),IF(E104="Long",(I104-F104)/(F104-G104),(F104-I104)/(G104-F104)),"")</f>
        <v/>
      </c>
      <c r="O104" s="4" t="str">
        <f aca="false">IF(L104="","",IF(L104&gt;0,"Win",IF(L104&lt;0,"Loss","Break Even")))</f>
        <v/>
      </c>
      <c r="P104" s="4"/>
      <c r="Q104" s="4"/>
      <c r="R104" s="4"/>
    </row>
    <row r="105" customFormat="false" ht="15" hidden="false" customHeight="false" outlineLevel="0" collapsed="false">
      <c r="A105" s="9" t="str">
        <f aca="false">IF(B105&lt;&gt;"",ROW()-3,"")</f>
        <v/>
      </c>
      <c r="B105" s="10"/>
      <c r="C105" s="9" t="str">
        <f aca="false">IF(B105&lt;&gt;"",TEXT(B105,"DDDD"),"")</f>
        <v/>
      </c>
      <c r="D105" s="9"/>
      <c r="E105" s="9"/>
      <c r="F105" s="9"/>
      <c r="G105" s="9"/>
      <c r="H105" s="9"/>
      <c r="I105" s="9"/>
      <c r="J105" s="9"/>
      <c r="K105" s="11" t="str">
        <f aca="false">IF(AND(B105&lt;&gt;"",I105&lt;&gt;"",F105&lt;&gt;""),IF(E105="Long",(I105-F105)*20,(F105-I105)*20),"")</f>
        <v/>
      </c>
      <c r="L105" s="12" t="str">
        <f aca="false">IF(AND(K105&lt;&gt;"",J105&lt;&gt;""),K105*J105,"")</f>
        <v/>
      </c>
      <c r="M105" s="13" t="str">
        <f aca="false">IF(AND(F105&lt;&gt;"",G105&lt;&gt;"",H105&lt;&gt;""),IF(E105="Long",(H105-F105)/(F105-G105),(F105-H105)/(G105-F105)),"")</f>
        <v/>
      </c>
      <c r="N105" s="13" t="str">
        <f aca="false">IF(AND(F105&lt;&gt;"",G105&lt;&gt;"",I105&lt;&gt;""),IF(E105="Long",(I105-F105)/(F105-G105),(F105-I105)/(G105-F105)),"")</f>
        <v/>
      </c>
      <c r="O105" s="9" t="str">
        <f aca="false">IF(L105="","",IF(L105&gt;0,"Win",IF(L105&lt;0,"Loss","Break Even")))</f>
        <v/>
      </c>
      <c r="P105" s="9"/>
      <c r="Q105" s="9"/>
      <c r="R105" s="9"/>
    </row>
    <row r="106" customFormat="false" ht="15" hidden="false" customHeight="false" outlineLevel="0" collapsed="false">
      <c r="A106" s="4" t="str">
        <f aca="false">IF(B106&lt;&gt;"",ROW()-3,"")</f>
        <v/>
      </c>
      <c r="B106" s="5"/>
      <c r="C106" s="4" t="str">
        <f aca="false">IF(B106&lt;&gt;"",TEXT(B106,"DDDD"),"")</f>
        <v/>
      </c>
      <c r="D106" s="4"/>
      <c r="E106" s="4"/>
      <c r="F106" s="4"/>
      <c r="G106" s="4"/>
      <c r="H106" s="4"/>
      <c r="I106" s="4"/>
      <c r="J106" s="4"/>
      <c r="K106" s="6" t="str">
        <f aca="false">IF(AND(B106&lt;&gt;"",I106&lt;&gt;"",F106&lt;&gt;""),IF(E106="Long",(I106-F106)*20,(F106-I106)*20),"")</f>
        <v/>
      </c>
      <c r="L106" s="7" t="str">
        <f aca="false">IF(AND(K106&lt;&gt;"",J106&lt;&gt;""),K106*J106,"")</f>
        <v/>
      </c>
      <c r="M106" s="8" t="str">
        <f aca="false">IF(AND(F106&lt;&gt;"",G106&lt;&gt;"",H106&lt;&gt;""),IF(E106="Long",(H106-F106)/(F106-G106),(F106-H106)/(G106-F106)),"")</f>
        <v/>
      </c>
      <c r="N106" s="8" t="str">
        <f aca="false">IF(AND(F106&lt;&gt;"",G106&lt;&gt;"",I106&lt;&gt;""),IF(E106="Long",(I106-F106)/(F106-G106),(F106-I106)/(G106-F106)),"")</f>
        <v/>
      </c>
      <c r="O106" s="4" t="str">
        <f aca="false">IF(L106="","",IF(L106&gt;0,"Win",IF(L106&lt;0,"Loss","Break Even")))</f>
        <v/>
      </c>
      <c r="P106" s="4"/>
      <c r="Q106" s="4"/>
      <c r="R106" s="4"/>
    </row>
    <row r="107" customFormat="false" ht="15" hidden="false" customHeight="false" outlineLevel="0" collapsed="false">
      <c r="A107" s="9" t="str">
        <f aca="false">IF(B107&lt;&gt;"",ROW()-3,"")</f>
        <v/>
      </c>
      <c r="B107" s="10"/>
      <c r="C107" s="9" t="str">
        <f aca="false">IF(B107&lt;&gt;"",TEXT(B107,"DDDD"),"")</f>
        <v/>
      </c>
      <c r="D107" s="9"/>
      <c r="E107" s="9"/>
      <c r="F107" s="9"/>
      <c r="G107" s="9"/>
      <c r="H107" s="9"/>
      <c r="I107" s="9"/>
      <c r="J107" s="9"/>
      <c r="K107" s="11" t="str">
        <f aca="false">IF(AND(B107&lt;&gt;"",I107&lt;&gt;"",F107&lt;&gt;""),IF(E107="Long",(I107-F107)*20,(F107-I107)*20),"")</f>
        <v/>
      </c>
      <c r="L107" s="12" t="str">
        <f aca="false">IF(AND(K107&lt;&gt;"",J107&lt;&gt;""),K107*J107,"")</f>
        <v/>
      </c>
      <c r="M107" s="13" t="str">
        <f aca="false">IF(AND(F107&lt;&gt;"",G107&lt;&gt;"",H107&lt;&gt;""),IF(E107="Long",(H107-F107)/(F107-G107),(F107-H107)/(G107-F107)),"")</f>
        <v/>
      </c>
      <c r="N107" s="13" t="str">
        <f aca="false">IF(AND(F107&lt;&gt;"",G107&lt;&gt;"",I107&lt;&gt;""),IF(E107="Long",(I107-F107)/(F107-G107),(F107-I107)/(G107-F107)),"")</f>
        <v/>
      </c>
      <c r="O107" s="9" t="str">
        <f aca="false">IF(L107="","",IF(L107&gt;0,"Win",IF(L107&lt;0,"Loss","Break Even")))</f>
        <v/>
      </c>
      <c r="P107" s="9"/>
      <c r="Q107" s="9"/>
      <c r="R107" s="9"/>
    </row>
    <row r="108" customFormat="false" ht="15" hidden="false" customHeight="false" outlineLevel="0" collapsed="false">
      <c r="A108" s="4" t="str">
        <f aca="false">IF(B108&lt;&gt;"",ROW()-3,"")</f>
        <v/>
      </c>
      <c r="B108" s="5"/>
      <c r="C108" s="4" t="str">
        <f aca="false">IF(B108&lt;&gt;"",TEXT(B108,"DDDD"),"")</f>
        <v/>
      </c>
      <c r="D108" s="4"/>
      <c r="E108" s="4"/>
      <c r="F108" s="4"/>
      <c r="G108" s="4"/>
      <c r="H108" s="4"/>
      <c r="I108" s="4"/>
      <c r="J108" s="4"/>
      <c r="K108" s="6" t="str">
        <f aca="false">IF(AND(B108&lt;&gt;"",I108&lt;&gt;"",F108&lt;&gt;""),IF(E108="Long",(I108-F108)*20,(F108-I108)*20),"")</f>
        <v/>
      </c>
      <c r="L108" s="7" t="str">
        <f aca="false">IF(AND(K108&lt;&gt;"",J108&lt;&gt;""),K108*J108,"")</f>
        <v/>
      </c>
      <c r="M108" s="8" t="str">
        <f aca="false">IF(AND(F108&lt;&gt;"",G108&lt;&gt;"",H108&lt;&gt;""),IF(E108="Long",(H108-F108)/(F108-G108),(F108-H108)/(G108-F108)),"")</f>
        <v/>
      </c>
      <c r="N108" s="8" t="str">
        <f aca="false">IF(AND(F108&lt;&gt;"",G108&lt;&gt;"",I108&lt;&gt;""),IF(E108="Long",(I108-F108)/(F108-G108),(F108-I108)/(G108-F108)),"")</f>
        <v/>
      </c>
      <c r="O108" s="4" t="str">
        <f aca="false">IF(L108="","",IF(L108&gt;0,"Win",IF(L108&lt;0,"Loss","Break Even")))</f>
        <v/>
      </c>
      <c r="P108" s="4"/>
      <c r="Q108" s="4"/>
      <c r="R108" s="4"/>
    </row>
    <row r="109" customFormat="false" ht="15" hidden="false" customHeight="false" outlineLevel="0" collapsed="false">
      <c r="A109" s="9" t="str">
        <f aca="false">IF(B109&lt;&gt;"",ROW()-3,"")</f>
        <v/>
      </c>
      <c r="B109" s="10"/>
      <c r="C109" s="9" t="str">
        <f aca="false">IF(B109&lt;&gt;"",TEXT(B109,"DDDD"),"")</f>
        <v/>
      </c>
      <c r="D109" s="9"/>
      <c r="E109" s="9"/>
      <c r="F109" s="9"/>
      <c r="G109" s="9"/>
      <c r="H109" s="9"/>
      <c r="I109" s="9"/>
      <c r="J109" s="9"/>
      <c r="K109" s="11" t="str">
        <f aca="false">IF(AND(B109&lt;&gt;"",I109&lt;&gt;"",F109&lt;&gt;""),IF(E109="Long",(I109-F109)*20,(F109-I109)*20),"")</f>
        <v/>
      </c>
      <c r="L109" s="12" t="str">
        <f aca="false">IF(AND(K109&lt;&gt;"",J109&lt;&gt;""),K109*J109,"")</f>
        <v/>
      </c>
      <c r="M109" s="13" t="str">
        <f aca="false">IF(AND(F109&lt;&gt;"",G109&lt;&gt;"",H109&lt;&gt;""),IF(E109="Long",(H109-F109)/(F109-G109),(F109-H109)/(G109-F109)),"")</f>
        <v/>
      </c>
      <c r="N109" s="13" t="str">
        <f aca="false">IF(AND(F109&lt;&gt;"",G109&lt;&gt;"",I109&lt;&gt;""),IF(E109="Long",(I109-F109)/(F109-G109),(F109-I109)/(G109-F109)),"")</f>
        <v/>
      </c>
      <c r="O109" s="9" t="str">
        <f aca="false">IF(L109="","",IF(L109&gt;0,"Win",IF(L109&lt;0,"Loss","Break Even")))</f>
        <v/>
      </c>
      <c r="P109" s="9"/>
      <c r="Q109" s="9"/>
      <c r="R109" s="9"/>
    </row>
    <row r="110" customFormat="false" ht="15" hidden="false" customHeight="false" outlineLevel="0" collapsed="false">
      <c r="A110" s="4" t="str">
        <f aca="false">IF(B110&lt;&gt;"",ROW()-3,"")</f>
        <v/>
      </c>
      <c r="B110" s="5"/>
      <c r="C110" s="4" t="str">
        <f aca="false">IF(B110&lt;&gt;"",TEXT(B110,"DDDD"),"")</f>
        <v/>
      </c>
      <c r="D110" s="4"/>
      <c r="E110" s="4"/>
      <c r="F110" s="4"/>
      <c r="G110" s="4"/>
      <c r="H110" s="4"/>
      <c r="I110" s="4"/>
      <c r="J110" s="4"/>
      <c r="K110" s="6" t="str">
        <f aca="false">IF(AND(B110&lt;&gt;"",I110&lt;&gt;"",F110&lt;&gt;""),IF(E110="Long",(I110-F110)*20,(F110-I110)*20),"")</f>
        <v/>
      </c>
      <c r="L110" s="7" t="str">
        <f aca="false">IF(AND(K110&lt;&gt;"",J110&lt;&gt;""),K110*J110,"")</f>
        <v/>
      </c>
      <c r="M110" s="8" t="str">
        <f aca="false">IF(AND(F110&lt;&gt;"",G110&lt;&gt;"",H110&lt;&gt;""),IF(E110="Long",(H110-F110)/(F110-G110),(F110-H110)/(G110-F110)),"")</f>
        <v/>
      </c>
      <c r="N110" s="8" t="str">
        <f aca="false">IF(AND(F110&lt;&gt;"",G110&lt;&gt;"",I110&lt;&gt;""),IF(E110="Long",(I110-F110)/(F110-G110),(F110-I110)/(G110-F110)),"")</f>
        <v/>
      </c>
      <c r="O110" s="4" t="str">
        <f aca="false">IF(L110="","",IF(L110&gt;0,"Win",IF(L110&lt;0,"Loss","Break Even")))</f>
        <v/>
      </c>
      <c r="P110" s="4"/>
      <c r="Q110" s="4"/>
      <c r="R110" s="4"/>
    </row>
    <row r="111" customFormat="false" ht="15" hidden="false" customHeight="false" outlineLevel="0" collapsed="false">
      <c r="A111" s="9" t="str">
        <f aca="false">IF(B111&lt;&gt;"",ROW()-3,"")</f>
        <v/>
      </c>
      <c r="B111" s="10"/>
      <c r="C111" s="9" t="str">
        <f aca="false">IF(B111&lt;&gt;"",TEXT(B111,"DDDD"),"")</f>
        <v/>
      </c>
      <c r="D111" s="9"/>
      <c r="E111" s="9"/>
      <c r="F111" s="9"/>
      <c r="G111" s="9"/>
      <c r="H111" s="9"/>
      <c r="I111" s="9"/>
      <c r="J111" s="9"/>
      <c r="K111" s="11" t="str">
        <f aca="false">IF(AND(B111&lt;&gt;"",I111&lt;&gt;"",F111&lt;&gt;""),IF(E111="Long",(I111-F111)*20,(F111-I111)*20),"")</f>
        <v/>
      </c>
      <c r="L111" s="12" t="str">
        <f aca="false">IF(AND(K111&lt;&gt;"",J111&lt;&gt;""),K111*J111,"")</f>
        <v/>
      </c>
      <c r="M111" s="13" t="str">
        <f aca="false">IF(AND(F111&lt;&gt;"",G111&lt;&gt;"",H111&lt;&gt;""),IF(E111="Long",(H111-F111)/(F111-G111),(F111-H111)/(G111-F111)),"")</f>
        <v/>
      </c>
      <c r="N111" s="13" t="str">
        <f aca="false">IF(AND(F111&lt;&gt;"",G111&lt;&gt;"",I111&lt;&gt;""),IF(E111="Long",(I111-F111)/(F111-G111),(F111-I111)/(G111-F111)),"")</f>
        <v/>
      </c>
      <c r="O111" s="9" t="str">
        <f aca="false">IF(L111="","",IF(L111&gt;0,"Win",IF(L111&lt;0,"Loss","Break Even")))</f>
        <v/>
      </c>
      <c r="P111" s="9"/>
      <c r="Q111" s="9"/>
      <c r="R111" s="9"/>
    </row>
    <row r="112" customFormat="false" ht="15" hidden="false" customHeight="false" outlineLevel="0" collapsed="false">
      <c r="A112" s="4" t="str">
        <f aca="false">IF(B112&lt;&gt;"",ROW()-3,"")</f>
        <v/>
      </c>
      <c r="B112" s="5"/>
      <c r="C112" s="4" t="str">
        <f aca="false">IF(B112&lt;&gt;"",TEXT(B112,"DDDD"),"")</f>
        <v/>
      </c>
      <c r="D112" s="4"/>
      <c r="E112" s="4"/>
      <c r="F112" s="4"/>
      <c r="G112" s="4"/>
      <c r="H112" s="4"/>
      <c r="I112" s="4"/>
      <c r="J112" s="4"/>
      <c r="K112" s="6" t="str">
        <f aca="false">IF(AND(B112&lt;&gt;"",I112&lt;&gt;"",F112&lt;&gt;""),IF(E112="Long",(I112-F112)*20,(F112-I112)*20),"")</f>
        <v/>
      </c>
      <c r="L112" s="7" t="str">
        <f aca="false">IF(AND(K112&lt;&gt;"",J112&lt;&gt;""),K112*J112,"")</f>
        <v/>
      </c>
      <c r="M112" s="8" t="str">
        <f aca="false">IF(AND(F112&lt;&gt;"",G112&lt;&gt;"",H112&lt;&gt;""),IF(E112="Long",(H112-F112)/(F112-G112),(F112-H112)/(G112-F112)),"")</f>
        <v/>
      </c>
      <c r="N112" s="8" t="str">
        <f aca="false">IF(AND(F112&lt;&gt;"",G112&lt;&gt;"",I112&lt;&gt;""),IF(E112="Long",(I112-F112)/(F112-G112),(F112-I112)/(G112-F112)),"")</f>
        <v/>
      </c>
      <c r="O112" s="4" t="str">
        <f aca="false">IF(L112="","",IF(L112&gt;0,"Win",IF(L112&lt;0,"Loss","Break Even")))</f>
        <v/>
      </c>
      <c r="P112" s="4"/>
      <c r="Q112" s="4"/>
      <c r="R112" s="4"/>
    </row>
    <row r="113" customFormat="false" ht="15" hidden="false" customHeight="false" outlineLevel="0" collapsed="false">
      <c r="A113" s="9" t="str">
        <f aca="false">IF(B113&lt;&gt;"",ROW()-3,"")</f>
        <v/>
      </c>
      <c r="B113" s="10"/>
      <c r="C113" s="9" t="str">
        <f aca="false">IF(B113&lt;&gt;"",TEXT(B113,"DDDD"),"")</f>
        <v/>
      </c>
      <c r="D113" s="9"/>
      <c r="E113" s="9"/>
      <c r="F113" s="9"/>
      <c r="G113" s="9"/>
      <c r="H113" s="9"/>
      <c r="I113" s="9"/>
      <c r="J113" s="9"/>
      <c r="K113" s="11" t="str">
        <f aca="false">IF(AND(B113&lt;&gt;"",I113&lt;&gt;"",F113&lt;&gt;""),IF(E113="Long",(I113-F113)*20,(F113-I113)*20),"")</f>
        <v/>
      </c>
      <c r="L113" s="12" t="str">
        <f aca="false">IF(AND(K113&lt;&gt;"",J113&lt;&gt;""),K113*J113,"")</f>
        <v/>
      </c>
      <c r="M113" s="13" t="str">
        <f aca="false">IF(AND(F113&lt;&gt;"",G113&lt;&gt;"",H113&lt;&gt;""),IF(E113="Long",(H113-F113)/(F113-G113),(F113-H113)/(G113-F113)),"")</f>
        <v/>
      </c>
      <c r="N113" s="13" t="str">
        <f aca="false">IF(AND(F113&lt;&gt;"",G113&lt;&gt;"",I113&lt;&gt;""),IF(E113="Long",(I113-F113)/(F113-G113),(F113-I113)/(G113-F113)),"")</f>
        <v/>
      </c>
      <c r="O113" s="9" t="str">
        <f aca="false">IF(L113="","",IF(L113&gt;0,"Win",IF(L113&lt;0,"Loss","Break Even")))</f>
        <v/>
      </c>
      <c r="P113" s="9"/>
      <c r="Q113" s="9"/>
      <c r="R113" s="9"/>
    </row>
    <row r="114" customFormat="false" ht="15" hidden="false" customHeight="false" outlineLevel="0" collapsed="false">
      <c r="A114" s="4" t="str">
        <f aca="false">IF(B114&lt;&gt;"",ROW()-3,"")</f>
        <v/>
      </c>
      <c r="B114" s="5"/>
      <c r="C114" s="4" t="str">
        <f aca="false">IF(B114&lt;&gt;"",TEXT(B114,"DDDD"),"")</f>
        <v/>
      </c>
      <c r="D114" s="4"/>
      <c r="E114" s="4"/>
      <c r="F114" s="4"/>
      <c r="G114" s="4"/>
      <c r="H114" s="4"/>
      <c r="I114" s="4"/>
      <c r="J114" s="4"/>
      <c r="K114" s="6" t="str">
        <f aca="false">IF(AND(B114&lt;&gt;"",I114&lt;&gt;"",F114&lt;&gt;""),IF(E114="Long",(I114-F114)*20,(F114-I114)*20),"")</f>
        <v/>
      </c>
      <c r="L114" s="7" t="str">
        <f aca="false">IF(AND(K114&lt;&gt;"",J114&lt;&gt;""),K114*J114,"")</f>
        <v/>
      </c>
      <c r="M114" s="8" t="str">
        <f aca="false">IF(AND(F114&lt;&gt;"",G114&lt;&gt;"",H114&lt;&gt;""),IF(E114="Long",(H114-F114)/(F114-G114),(F114-H114)/(G114-F114)),"")</f>
        <v/>
      </c>
      <c r="N114" s="8" t="str">
        <f aca="false">IF(AND(F114&lt;&gt;"",G114&lt;&gt;"",I114&lt;&gt;""),IF(E114="Long",(I114-F114)/(F114-G114),(F114-I114)/(G114-F114)),"")</f>
        <v/>
      </c>
      <c r="O114" s="4" t="str">
        <f aca="false">IF(L114="","",IF(L114&gt;0,"Win",IF(L114&lt;0,"Loss","Break Even")))</f>
        <v/>
      </c>
      <c r="P114" s="4"/>
      <c r="Q114" s="4"/>
      <c r="R114" s="4"/>
    </row>
    <row r="115" customFormat="false" ht="15" hidden="false" customHeight="false" outlineLevel="0" collapsed="false">
      <c r="A115" s="9" t="str">
        <f aca="false">IF(B115&lt;&gt;"",ROW()-3,"")</f>
        <v/>
      </c>
      <c r="B115" s="10"/>
      <c r="C115" s="9" t="str">
        <f aca="false">IF(B115&lt;&gt;"",TEXT(B115,"DDDD"),"")</f>
        <v/>
      </c>
      <c r="D115" s="9"/>
      <c r="E115" s="9"/>
      <c r="F115" s="9"/>
      <c r="G115" s="9"/>
      <c r="H115" s="9"/>
      <c r="I115" s="9"/>
      <c r="J115" s="9"/>
      <c r="K115" s="11" t="str">
        <f aca="false">IF(AND(B115&lt;&gt;"",I115&lt;&gt;"",F115&lt;&gt;""),IF(E115="Long",(I115-F115)*20,(F115-I115)*20),"")</f>
        <v/>
      </c>
      <c r="L115" s="12" t="str">
        <f aca="false">IF(AND(K115&lt;&gt;"",J115&lt;&gt;""),K115*J115,"")</f>
        <v/>
      </c>
      <c r="M115" s="13" t="str">
        <f aca="false">IF(AND(F115&lt;&gt;"",G115&lt;&gt;"",H115&lt;&gt;""),IF(E115="Long",(H115-F115)/(F115-G115),(F115-H115)/(G115-F115)),"")</f>
        <v/>
      </c>
      <c r="N115" s="13" t="str">
        <f aca="false">IF(AND(F115&lt;&gt;"",G115&lt;&gt;"",I115&lt;&gt;""),IF(E115="Long",(I115-F115)/(F115-G115),(F115-I115)/(G115-F115)),"")</f>
        <v/>
      </c>
      <c r="O115" s="9" t="str">
        <f aca="false">IF(L115="","",IF(L115&gt;0,"Win",IF(L115&lt;0,"Loss","Break Even")))</f>
        <v/>
      </c>
      <c r="P115" s="9"/>
      <c r="Q115" s="9"/>
      <c r="R115" s="9"/>
    </row>
    <row r="116" customFormat="false" ht="15" hidden="false" customHeight="false" outlineLevel="0" collapsed="false">
      <c r="A116" s="4" t="str">
        <f aca="false">IF(B116&lt;&gt;"",ROW()-3,"")</f>
        <v/>
      </c>
      <c r="B116" s="5"/>
      <c r="C116" s="4" t="str">
        <f aca="false">IF(B116&lt;&gt;"",TEXT(B116,"DDDD"),"")</f>
        <v/>
      </c>
      <c r="D116" s="4"/>
      <c r="E116" s="4"/>
      <c r="F116" s="4"/>
      <c r="G116" s="4"/>
      <c r="H116" s="4"/>
      <c r="I116" s="4"/>
      <c r="J116" s="4"/>
      <c r="K116" s="6" t="str">
        <f aca="false">IF(AND(B116&lt;&gt;"",I116&lt;&gt;"",F116&lt;&gt;""),IF(E116="Long",(I116-F116)*20,(F116-I116)*20),"")</f>
        <v/>
      </c>
      <c r="L116" s="7" t="str">
        <f aca="false">IF(AND(K116&lt;&gt;"",J116&lt;&gt;""),K116*J116,"")</f>
        <v/>
      </c>
      <c r="M116" s="8" t="str">
        <f aca="false">IF(AND(F116&lt;&gt;"",G116&lt;&gt;"",H116&lt;&gt;""),IF(E116="Long",(H116-F116)/(F116-G116),(F116-H116)/(G116-F116)),"")</f>
        <v/>
      </c>
      <c r="N116" s="8" t="str">
        <f aca="false">IF(AND(F116&lt;&gt;"",G116&lt;&gt;"",I116&lt;&gt;""),IF(E116="Long",(I116-F116)/(F116-G116),(F116-I116)/(G116-F116)),"")</f>
        <v/>
      </c>
      <c r="O116" s="4" t="str">
        <f aca="false">IF(L116="","",IF(L116&gt;0,"Win",IF(L116&lt;0,"Loss","Break Even")))</f>
        <v/>
      </c>
      <c r="P116" s="4"/>
      <c r="Q116" s="4"/>
      <c r="R116" s="4"/>
    </row>
    <row r="117" customFormat="false" ht="15" hidden="false" customHeight="false" outlineLevel="0" collapsed="false">
      <c r="A117" s="9" t="str">
        <f aca="false">IF(B117&lt;&gt;"",ROW()-3,"")</f>
        <v/>
      </c>
      <c r="B117" s="10"/>
      <c r="C117" s="9" t="str">
        <f aca="false">IF(B117&lt;&gt;"",TEXT(B117,"DDDD"),"")</f>
        <v/>
      </c>
      <c r="D117" s="9"/>
      <c r="E117" s="9"/>
      <c r="F117" s="9"/>
      <c r="G117" s="9"/>
      <c r="H117" s="9"/>
      <c r="I117" s="9"/>
      <c r="J117" s="9"/>
      <c r="K117" s="11" t="str">
        <f aca="false">IF(AND(B117&lt;&gt;"",I117&lt;&gt;"",F117&lt;&gt;""),IF(E117="Long",(I117-F117)*20,(F117-I117)*20),"")</f>
        <v/>
      </c>
      <c r="L117" s="12" t="str">
        <f aca="false">IF(AND(K117&lt;&gt;"",J117&lt;&gt;""),K117*J117,"")</f>
        <v/>
      </c>
      <c r="M117" s="13" t="str">
        <f aca="false">IF(AND(F117&lt;&gt;"",G117&lt;&gt;"",H117&lt;&gt;""),IF(E117="Long",(H117-F117)/(F117-G117),(F117-H117)/(G117-F117)),"")</f>
        <v/>
      </c>
      <c r="N117" s="13" t="str">
        <f aca="false">IF(AND(F117&lt;&gt;"",G117&lt;&gt;"",I117&lt;&gt;""),IF(E117="Long",(I117-F117)/(F117-G117),(F117-I117)/(G117-F117)),"")</f>
        <v/>
      </c>
      <c r="O117" s="9" t="str">
        <f aca="false">IF(L117="","",IF(L117&gt;0,"Win",IF(L117&lt;0,"Loss","Break Even")))</f>
        <v/>
      </c>
      <c r="P117" s="9"/>
      <c r="Q117" s="9"/>
      <c r="R117" s="9"/>
    </row>
    <row r="118" customFormat="false" ht="15" hidden="false" customHeight="false" outlineLevel="0" collapsed="false">
      <c r="A118" s="4" t="str">
        <f aca="false">IF(B118&lt;&gt;"",ROW()-3,"")</f>
        <v/>
      </c>
      <c r="B118" s="5"/>
      <c r="C118" s="4" t="str">
        <f aca="false">IF(B118&lt;&gt;"",TEXT(B118,"DDDD"),"")</f>
        <v/>
      </c>
      <c r="D118" s="4"/>
      <c r="E118" s="4"/>
      <c r="F118" s="4"/>
      <c r="G118" s="4"/>
      <c r="H118" s="4"/>
      <c r="I118" s="4"/>
      <c r="J118" s="4"/>
      <c r="K118" s="6" t="str">
        <f aca="false">IF(AND(B118&lt;&gt;"",I118&lt;&gt;"",F118&lt;&gt;""),IF(E118="Long",(I118-F118)*20,(F118-I118)*20),"")</f>
        <v/>
      </c>
      <c r="L118" s="7" t="str">
        <f aca="false">IF(AND(K118&lt;&gt;"",J118&lt;&gt;""),K118*J118,"")</f>
        <v/>
      </c>
      <c r="M118" s="8" t="str">
        <f aca="false">IF(AND(F118&lt;&gt;"",G118&lt;&gt;"",H118&lt;&gt;""),IF(E118="Long",(H118-F118)/(F118-G118),(F118-H118)/(G118-F118)),"")</f>
        <v/>
      </c>
      <c r="N118" s="8" t="str">
        <f aca="false">IF(AND(F118&lt;&gt;"",G118&lt;&gt;"",I118&lt;&gt;""),IF(E118="Long",(I118-F118)/(F118-G118),(F118-I118)/(G118-F118)),"")</f>
        <v/>
      </c>
      <c r="O118" s="4" t="str">
        <f aca="false">IF(L118="","",IF(L118&gt;0,"Win",IF(L118&lt;0,"Loss","Break Even")))</f>
        <v/>
      </c>
      <c r="P118" s="4"/>
      <c r="Q118" s="4"/>
      <c r="R118" s="4"/>
    </row>
    <row r="119" customFormat="false" ht="15" hidden="false" customHeight="false" outlineLevel="0" collapsed="false">
      <c r="A119" s="9" t="str">
        <f aca="false">IF(B119&lt;&gt;"",ROW()-3,"")</f>
        <v/>
      </c>
      <c r="B119" s="10"/>
      <c r="C119" s="9" t="str">
        <f aca="false">IF(B119&lt;&gt;"",TEXT(B119,"DDDD"),"")</f>
        <v/>
      </c>
      <c r="D119" s="9"/>
      <c r="E119" s="9"/>
      <c r="F119" s="9"/>
      <c r="G119" s="9"/>
      <c r="H119" s="9"/>
      <c r="I119" s="9"/>
      <c r="J119" s="9"/>
      <c r="K119" s="11" t="str">
        <f aca="false">IF(AND(B119&lt;&gt;"",I119&lt;&gt;"",F119&lt;&gt;""),IF(E119="Long",(I119-F119)*20,(F119-I119)*20),"")</f>
        <v/>
      </c>
      <c r="L119" s="12" t="str">
        <f aca="false">IF(AND(K119&lt;&gt;"",J119&lt;&gt;""),K119*J119,"")</f>
        <v/>
      </c>
      <c r="M119" s="13" t="str">
        <f aca="false">IF(AND(F119&lt;&gt;"",G119&lt;&gt;"",H119&lt;&gt;""),IF(E119="Long",(H119-F119)/(F119-G119),(F119-H119)/(G119-F119)),"")</f>
        <v/>
      </c>
      <c r="N119" s="13" t="str">
        <f aca="false">IF(AND(F119&lt;&gt;"",G119&lt;&gt;"",I119&lt;&gt;""),IF(E119="Long",(I119-F119)/(F119-G119),(F119-I119)/(G119-F119)),"")</f>
        <v/>
      </c>
      <c r="O119" s="9" t="str">
        <f aca="false">IF(L119="","",IF(L119&gt;0,"Win",IF(L119&lt;0,"Loss","Break Even")))</f>
        <v/>
      </c>
      <c r="P119" s="9"/>
      <c r="Q119" s="9"/>
      <c r="R119" s="9"/>
    </row>
    <row r="120" customFormat="false" ht="15" hidden="false" customHeight="false" outlineLevel="0" collapsed="false">
      <c r="A120" s="4" t="str">
        <f aca="false">IF(B120&lt;&gt;"",ROW()-3,"")</f>
        <v/>
      </c>
      <c r="B120" s="5"/>
      <c r="C120" s="4" t="str">
        <f aca="false">IF(B120&lt;&gt;"",TEXT(B120,"DDDD"),"")</f>
        <v/>
      </c>
      <c r="D120" s="4"/>
      <c r="E120" s="4"/>
      <c r="F120" s="4"/>
      <c r="G120" s="4"/>
      <c r="H120" s="4"/>
      <c r="I120" s="4"/>
      <c r="J120" s="4"/>
      <c r="K120" s="6" t="str">
        <f aca="false">IF(AND(B120&lt;&gt;"",I120&lt;&gt;"",F120&lt;&gt;""),IF(E120="Long",(I120-F120)*20,(F120-I120)*20),"")</f>
        <v/>
      </c>
      <c r="L120" s="7" t="str">
        <f aca="false">IF(AND(K120&lt;&gt;"",J120&lt;&gt;""),K120*J120,"")</f>
        <v/>
      </c>
      <c r="M120" s="8" t="str">
        <f aca="false">IF(AND(F120&lt;&gt;"",G120&lt;&gt;"",H120&lt;&gt;""),IF(E120="Long",(H120-F120)/(F120-G120),(F120-H120)/(G120-F120)),"")</f>
        <v/>
      </c>
      <c r="N120" s="8" t="str">
        <f aca="false">IF(AND(F120&lt;&gt;"",G120&lt;&gt;"",I120&lt;&gt;""),IF(E120="Long",(I120-F120)/(F120-G120),(F120-I120)/(G120-F120)),"")</f>
        <v/>
      </c>
      <c r="O120" s="4" t="str">
        <f aca="false">IF(L120="","",IF(L120&gt;0,"Win",IF(L120&lt;0,"Loss","Break Even")))</f>
        <v/>
      </c>
      <c r="P120" s="4"/>
      <c r="Q120" s="4"/>
      <c r="R120" s="4"/>
    </row>
    <row r="121" customFormat="false" ht="15" hidden="false" customHeight="false" outlineLevel="0" collapsed="false">
      <c r="A121" s="9" t="str">
        <f aca="false">IF(B121&lt;&gt;"",ROW()-3,"")</f>
        <v/>
      </c>
      <c r="B121" s="10"/>
      <c r="C121" s="9" t="str">
        <f aca="false">IF(B121&lt;&gt;"",TEXT(B121,"DDDD"),"")</f>
        <v/>
      </c>
      <c r="D121" s="9"/>
      <c r="E121" s="9"/>
      <c r="F121" s="9"/>
      <c r="G121" s="9"/>
      <c r="H121" s="9"/>
      <c r="I121" s="9"/>
      <c r="J121" s="9"/>
      <c r="K121" s="11" t="str">
        <f aca="false">IF(AND(B121&lt;&gt;"",I121&lt;&gt;"",F121&lt;&gt;""),IF(E121="Long",(I121-F121)*20,(F121-I121)*20),"")</f>
        <v/>
      </c>
      <c r="L121" s="12" t="str">
        <f aca="false">IF(AND(K121&lt;&gt;"",J121&lt;&gt;""),K121*J121,"")</f>
        <v/>
      </c>
      <c r="M121" s="13" t="str">
        <f aca="false">IF(AND(F121&lt;&gt;"",G121&lt;&gt;"",H121&lt;&gt;""),IF(E121="Long",(H121-F121)/(F121-G121),(F121-H121)/(G121-F121)),"")</f>
        <v/>
      </c>
      <c r="N121" s="13" t="str">
        <f aca="false">IF(AND(F121&lt;&gt;"",G121&lt;&gt;"",I121&lt;&gt;""),IF(E121="Long",(I121-F121)/(F121-G121),(F121-I121)/(G121-F121)),"")</f>
        <v/>
      </c>
      <c r="O121" s="9" t="str">
        <f aca="false">IF(L121="","",IF(L121&gt;0,"Win",IF(L121&lt;0,"Loss","Break Even")))</f>
        <v/>
      </c>
      <c r="P121" s="9"/>
      <c r="Q121" s="9"/>
      <c r="R121" s="9"/>
    </row>
    <row r="122" customFormat="false" ht="15" hidden="false" customHeight="false" outlineLevel="0" collapsed="false">
      <c r="A122" s="4" t="str">
        <f aca="false">IF(B122&lt;&gt;"",ROW()-3,"")</f>
        <v/>
      </c>
      <c r="B122" s="5"/>
      <c r="C122" s="4" t="str">
        <f aca="false">IF(B122&lt;&gt;"",TEXT(B122,"DDDD"),"")</f>
        <v/>
      </c>
      <c r="D122" s="4"/>
      <c r="E122" s="4"/>
      <c r="F122" s="4"/>
      <c r="G122" s="4"/>
      <c r="H122" s="4"/>
      <c r="I122" s="4"/>
      <c r="J122" s="4"/>
      <c r="K122" s="6" t="str">
        <f aca="false">IF(AND(B122&lt;&gt;"",I122&lt;&gt;"",F122&lt;&gt;""),IF(E122="Long",(I122-F122)*20,(F122-I122)*20),"")</f>
        <v/>
      </c>
      <c r="L122" s="7" t="str">
        <f aca="false">IF(AND(K122&lt;&gt;"",J122&lt;&gt;""),K122*J122,"")</f>
        <v/>
      </c>
      <c r="M122" s="8" t="str">
        <f aca="false">IF(AND(F122&lt;&gt;"",G122&lt;&gt;"",H122&lt;&gt;""),IF(E122="Long",(H122-F122)/(F122-G122),(F122-H122)/(G122-F122)),"")</f>
        <v/>
      </c>
      <c r="N122" s="8" t="str">
        <f aca="false">IF(AND(F122&lt;&gt;"",G122&lt;&gt;"",I122&lt;&gt;""),IF(E122="Long",(I122-F122)/(F122-G122),(F122-I122)/(G122-F122)),"")</f>
        <v/>
      </c>
      <c r="O122" s="4" t="str">
        <f aca="false">IF(L122="","",IF(L122&gt;0,"Win",IF(L122&lt;0,"Loss","Break Even")))</f>
        <v/>
      </c>
      <c r="P122" s="4"/>
      <c r="Q122" s="4"/>
      <c r="R122" s="4"/>
    </row>
    <row r="123" customFormat="false" ht="15" hidden="false" customHeight="false" outlineLevel="0" collapsed="false">
      <c r="A123" s="9" t="str">
        <f aca="false">IF(B123&lt;&gt;"",ROW()-3,"")</f>
        <v/>
      </c>
      <c r="B123" s="10"/>
      <c r="C123" s="9" t="str">
        <f aca="false">IF(B123&lt;&gt;"",TEXT(B123,"DDDD"),"")</f>
        <v/>
      </c>
      <c r="D123" s="9"/>
      <c r="E123" s="9"/>
      <c r="F123" s="9"/>
      <c r="G123" s="9"/>
      <c r="H123" s="9"/>
      <c r="I123" s="9"/>
      <c r="J123" s="9"/>
      <c r="K123" s="11" t="str">
        <f aca="false">IF(AND(B123&lt;&gt;"",I123&lt;&gt;"",F123&lt;&gt;""),IF(E123="Long",(I123-F123)*20,(F123-I123)*20),"")</f>
        <v/>
      </c>
      <c r="L123" s="12" t="str">
        <f aca="false">IF(AND(K123&lt;&gt;"",J123&lt;&gt;""),K123*J123,"")</f>
        <v/>
      </c>
      <c r="M123" s="13" t="str">
        <f aca="false">IF(AND(F123&lt;&gt;"",G123&lt;&gt;"",H123&lt;&gt;""),IF(E123="Long",(H123-F123)/(F123-G123),(F123-H123)/(G123-F123)),"")</f>
        <v/>
      </c>
      <c r="N123" s="13" t="str">
        <f aca="false">IF(AND(F123&lt;&gt;"",G123&lt;&gt;"",I123&lt;&gt;""),IF(E123="Long",(I123-F123)/(F123-G123),(F123-I123)/(G123-F123)),"")</f>
        <v/>
      </c>
      <c r="O123" s="9" t="str">
        <f aca="false">IF(L123="","",IF(L123&gt;0,"Win",IF(L123&lt;0,"Loss","Break Even")))</f>
        <v/>
      </c>
      <c r="P123" s="9"/>
      <c r="Q123" s="9"/>
      <c r="R123" s="9"/>
    </row>
    <row r="124" customFormat="false" ht="15" hidden="false" customHeight="false" outlineLevel="0" collapsed="false">
      <c r="A124" s="4" t="str">
        <f aca="false">IF(B124&lt;&gt;"",ROW()-3,"")</f>
        <v/>
      </c>
      <c r="B124" s="5"/>
      <c r="C124" s="4" t="str">
        <f aca="false">IF(B124&lt;&gt;"",TEXT(B124,"DDDD"),"")</f>
        <v/>
      </c>
      <c r="D124" s="4"/>
      <c r="E124" s="4"/>
      <c r="F124" s="4"/>
      <c r="G124" s="4"/>
      <c r="H124" s="4"/>
      <c r="I124" s="4"/>
      <c r="J124" s="4"/>
      <c r="K124" s="6" t="str">
        <f aca="false">IF(AND(B124&lt;&gt;"",I124&lt;&gt;"",F124&lt;&gt;""),IF(E124="Long",(I124-F124)*20,(F124-I124)*20),"")</f>
        <v/>
      </c>
      <c r="L124" s="7" t="str">
        <f aca="false">IF(AND(K124&lt;&gt;"",J124&lt;&gt;""),K124*J124,"")</f>
        <v/>
      </c>
      <c r="M124" s="8" t="str">
        <f aca="false">IF(AND(F124&lt;&gt;"",G124&lt;&gt;"",H124&lt;&gt;""),IF(E124="Long",(H124-F124)/(F124-G124),(F124-H124)/(G124-F124)),"")</f>
        <v/>
      </c>
      <c r="N124" s="8" t="str">
        <f aca="false">IF(AND(F124&lt;&gt;"",G124&lt;&gt;"",I124&lt;&gt;""),IF(E124="Long",(I124-F124)/(F124-G124),(F124-I124)/(G124-F124)),"")</f>
        <v/>
      </c>
      <c r="O124" s="4" t="str">
        <f aca="false">IF(L124="","",IF(L124&gt;0,"Win",IF(L124&lt;0,"Loss","Break Even")))</f>
        <v/>
      </c>
      <c r="P124" s="4"/>
      <c r="Q124" s="4"/>
      <c r="R124" s="4"/>
    </row>
    <row r="125" customFormat="false" ht="15" hidden="false" customHeight="false" outlineLevel="0" collapsed="false">
      <c r="A125" s="9" t="str">
        <f aca="false">IF(B125&lt;&gt;"",ROW()-3,"")</f>
        <v/>
      </c>
      <c r="B125" s="10"/>
      <c r="C125" s="9" t="str">
        <f aca="false">IF(B125&lt;&gt;"",TEXT(B125,"DDDD"),"")</f>
        <v/>
      </c>
      <c r="D125" s="9"/>
      <c r="E125" s="9"/>
      <c r="F125" s="9"/>
      <c r="G125" s="9"/>
      <c r="H125" s="9"/>
      <c r="I125" s="9"/>
      <c r="J125" s="9"/>
      <c r="K125" s="11" t="str">
        <f aca="false">IF(AND(B125&lt;&gt;"",I125&lt;&gt;"",F125&lt;&gt;""),IF(E125="Long",(I125-F125)*20,(F125-I125)*20),"")</f>
        <v/>
      </c>
      <c r="L125" s="12" t="str">
        <f aca="false">IF(AND(K125&lt;&gt;"",J125&lt;&gt;""),K125*J125,"")</f>
        <v/>
      </c>
      <c r="M125" s="13" t="str">
        <f aca="false">IF(AND(F125&lt;&gt;"",G125&lt;&gt;"",H125&lt;&gt;""),IF(E125="Long",(H125-F125)/(F125-G125),(F125-H125)/(G125-F125)),"")</f>
        <v/>
      </c>
      <c r="N125" s="13" t="str">
        <f aca="false">IF(AND(F125&lt;&gt;"",G125&lt;&gt;"",I125&lt;&gt;""),IF(E125="Long",(I125-F125)/(F125-G125),(F125-I125)/(G125-F125)),"")</f>
        <v/>
      </c>
      <c r="O125" s="9" t="str">
        <f aca="false">IF(L125="","",IF(L125&gt;0,"Win",IF(L125&lt;0,"Loss","Break Even")))</f>
        <v/>
      </c>
      <c r="P125" s="9"/>
      <c r="Q125" s="9"/>
      <c r="R125" s="9"/>
    </row>
    <row r="126" customFormat="false" ht="15" hidden="false" customHeight="false" outlineLevel="0" collapsed="false">
      <c r="A126" s="4" t="str">
        <f aca="false">IF(B126&lt;&gt;"",ROW()-3,"")</f>
        <v/>
      </c>
      <c r="B126" s="5"/>
      <c r="C126" s="4" t="str">
        <f aca="false">IF(B126&lt;&gt;"",TEXT(B126,"DDDD"),"")</f>
        <v/>
      </c>
      <c r="D126" s="4"/>
      <c r="E126" s="4"/>
      <c r="F126" s="4"/>
      <c r="G126" s="4"/>
      <c r="H126" s="4"/>
      <c r="I126" s="4"/>
      <c r="J126" s="4"/>
      <c r="K126" s="6" t="str">
        <f aca="false">IF(AND(B126&lt;&gt;"",I126&lt;&gt;"",F126&lt;&gt;""),IF(E126="Long",(I126-F126)*20,(F126-I126)*20),"")</f>
        <v/>
      </c>
      <c r="L126" s="7" t="str">
        <f aca="false">IF(AND(K126&lt;&gt;"",J126&lt;&gt;""),K126*J126,"")</f>
        <v/>
      </c>
      <c r="M126" s="8" t="str">
        <f aca="false">IF(AND(F126&lt;&gt;"",G126&lt;&gt;"",H126&lt;&gt;""),IF(E126="Long",(H126-F126)/(F126-G126),(F126-H126)/(G126-F126)),"")</f>
        <v/>
      </c>
      <c r="N126" s="8" t="str">
        <f aca="false">IF(AND(F126&lt;&gt;"",G126&lt;&gt;"",I126&lt;&gt;""),IF(E126="Long",(I126-F126)/(F126-G126),(F126-I126)/(G126-F126)),"")</f>
        <v/>
      </c>
      <c r="O126" s="4" t="str">
        <f aca="false">IF(L126="","",IF(L126&gt;0,"Win",IF(L126&lt;0,"Loss","Break Even")))</f>
        <v/>
      </c>
      <c r="P126" s="4"/>
      <c r="Q126" s="4"/>
      <c r="R126" s="4"/>
    </row>
    <row r="127" customFormat="false" ht="15" hidden="false" customHeight="false" outlineLevel="0" collapsed="false">
      <c r="A127" s="9" t="str">
        <f aca="false">IF(B127&lt;&gt;"",ROW()-3,"")</f>
        <v/>
      </c>
      <c r="B127" s="10"/>
      <c r="C127" s="9" t="str">
        <f aca="false">IF(B127&lt;&gt;"",TEXT(B127,"DDDD"),"")</f>
        <v/>
      </c>
      <c r="D127" s="9"/>
      <c r="E127" s="9"/>
      <c r="F127" s="9"/>
      <c r="G127" s="9"/>
      <c r="H127" s="9"/>
      <c r="I127" s="9"/>
      <c r="J127" s="9"/>
      <c r="K127" s="11" t="str">
        <f aca="false">IF(AND(B127&lt;&gt;"",I127&lt;&gt;"",F127&lt;&gt;""),IF(E127="Long",(I127-F127)*20,(F127-I127)*20),"")</f>
        <v/>
      </c>
      <c r="L127" s="12" t="str">
        <f aca="false">IF(AND(K127&lt;&gt;"",J127&lt;&gt;""),K127*J127,"")</f>
        <v/>
      </c>
      <c r="M127" s="13" t="str">
        <f aca="false">IF(AND(F127&lt;&gt;"",G127&lt;&gt;"",H127&lt;&gt;""),IF(E127="Long",(H127-F127)/(F127-G127),(F127-H127)/(G127-F127)),"")</f>
        <v/>
      </c>
      <c r="N127" s="13" t="str">
        <f aca="false">IF(AND(F127&lt;&gt;"",G127&lt;&gt;"",I127&lt;&gt;""),IF(E127="Long",(I127-F127)/(F127-G127),(F127-I127)/(G127-F127)),"")</f>
        <v/>
      </c>
      <c r="O127" s="9" t="str">
        <f aca="false">IF(L127="","",IF(L127&gt;0,"Win",IF(L127&lt;0,"Loss","Break Even")))</f>
        <v/>
      </c>
      <c r="P127" s="9"/>
      <c r="Q127" s="9"/>
      <c r="R127" s="9"/>
    </row>
    <row r="128" customFormat="false" ht="15" hidden="false" customHeight="false" outlineLevel="0" collapsed="false">
      <c r="A128" s="4" t="str">
        <f aca="false">IF(B128&lt;&gt;"",ROW()-3,"")</f>
        <v/>
      </c>
      <c r="B128" s="5"/>
      <c r="C128" s="4" t="str">
        <f aca="false">IF(B128&lt;&gt;"",TEXT(B128,"DDDD"),"")</f>
        <v/>
      </c>
      <c r="D128" s="4"/>
      <c r="E128" s="4"/>
      <c r="F128" s="4"/>
      <c r="G128" s="4"/>
      <c r="H128" s="4"/>
      <c r="I128" s="4"/>
      <c r="J128" s="4"/>
      <c r="K128" s="6" t="str">
        <f aca="false">IF(AND(B128&lt;&gt;"",I128&lt;&gt;"",F128&lt;&gt;""),IF(E128="Long",(I128-F128)*20,(F128-I128)*20),"")</f>
        <v/>
      </c>
      <c r="L128" s="7" t="str">
        <f aca="false">IF(AND(K128&lt;&gt;"",J128&lt;&gt;""),K128*J128,"")</f>
        <v/>
      </c>
      <c r="M128" s="8" t="str">
        <f aca="false">IF(AND(F128&lt;&gt;"",G128&lt;&gt;"",H128&lt;&gt;""),IF(E128="Long",(H128-F128)/(F128-G128),(F128-H128)/(G128-F128)),"")</f>
        <v/>
      </c>
      <c r="N128" s="8" t="str">
        <f aca="false">IF(AND(F128&lt;&gt;"",G128&lt;&gt;"",I128&lt;&gt;""),IF(E128="Long",(I128-F128)/(F128-G128),(F128-I128)/(G128-F128)),"")</f>
        <v/>
      </c>
      <c r="O128" s="4" t="str">
        <f aca="false">IF(L128="","",IF(L128&gt;0,"Win",IF(L128&lt;0,"Loss","Break Even")))</f>
        <v/>
      </c>
      <c r="P128" s="4"/>
      <c r="Q128" s="4"/>
      <c r="R128" s="4"/>
    </row>
    <row r="129" customFormat="false" ht="15" hidden="false" customHeight="false" outlineLevel="0" collapsed="false">
      <c r="A129" s="9" t="str">
        <f aca="false">IF(B129&lt;&gt;"",ROW()-3,"")</f>
        <v/>
      </c>
      <c r="B129" s="10"/>
      <c r="C129" s="9" t="str">
        <f aca="false">IF(B129&lt;&gt;"",TEXT(B129,"DDDD"),"")</f>
        <v/>
      </c>
      <c r="D129" s="9"/>
      <c r="E129" s="9"/>
      <c r="F129" s="9"/>
      <c r="G129" s="9"/>
      <c r="H129" s="9"/>
      <c r="I129" s="9"/>
      <c r="J129" s="9"/>
      <c r="K129" s="11" t="str">
        <f aca="false">IF(AND(B129&lt;&gt;"",I129&lt;&gt;"",F129&lt;&gt;""),IF(E129="Long",(I129-F129)*20,(F129-I129)*20),"")</f>
        <v/>
      </c>
      <c r="L129" s="12" t="str">
        <f aca="false">IF(AND(K129&lt;&gt;"",J129&lt;&gt;""),K129*J129,"")</f>
        <v/>
      </c>
      <c r="M129" s="13" t="str">
        <f aca="false">IF(AND(F129&lt;&gt;"",G129&lt;&gt;"",H129&lt;&gt;""),IF(E129="Long",(H129-F129)/(F129-G129),(F129-H129)/(G129-F129)),"")</f>
        <v/>
      </c>
      <c r="N129" s="13" t="str">
        <f aca="false">IF(AND(F129&lt;&gt;"",G129&lt;&gt;"",I129&lt;&gt;""),IF(E129="Long",(I129-F129)/(F129-G129),(F129-I129)/(G129-F129)),"")</f>
        <v/>
      </c>
      <c r="O129" s="9" t="str">
        <f aca="false">IF(L129="","",IF(L129&gt;0,"Win",IF(L129&lt;0,"Loss","Break Even")))</f>
        <v/>
      </c>
      <c r="P129" s="9"/>
      <c r="Q129" s="9"/>
      <c r="R129" s="9"/>
    </row>
    <row r="130" customFormat="false" ht="15" hidden="false" customHeight="false" outlineLevel="0" collapsed="false">
      <c r="A130" s="4" t="str">
        <f aca="false">IF(B130&lt;&gt;"",ROW()-3,"")</f>
        <v/>
      </c>
      <c r="B130" s="5"/>
      <c r="C130" s="4" t="str">
        <f aca="false">IF(B130&lt;&gt;"",TEXT(B130,"DDDD"),"")</f>
        <v/>
      </c>
      <c r="D130" s="4"/>
      <c r="E130" s="4"/>
      <c r="F130" s="4"/>
      <c r="G130" s="4"/>
      <c r="H130" s="4"/>
      <c r="I130" s="4"/>
      <c r="J130" s="4"/>
      <c r="K130" s="6" t="str">
        <f aca="false">IF(AND(B130&lt;&gt;"",I130&lt;&gt;"",F130&lt;&gt;""),IF(E130="Long",(I130-F130)*20,(F130-I130)*20),"")</f>
        <v/>
      </c>
      <c r="L130" s="7" t="str">
        <f aca="false">IF(AND(K130&lt;&gt;"",J130&lt;&gt;""),K130*J130,"")</f>
        <v/>
      </c>
      <c r="M130" s="8" t="str">
        <f aca="false">IF(AND(F130&lt;&gt;"",G130&lt;&gt;"",H130&lt;&gt;""),IF(E130="Long",(H130-F130)/(F130-G130),(F130-H130)/(G130-F130)),"")</f>
        <v/>
      </c>
      <c r="N130" s="8" t="str">
        <f aca="false">IF(AND(F130&lt;&gt;"",G130&lt;&gt;"",I130&lt;&gt;""),IF(E130="Long",(I130-F130)/(F130-G130),(F130-I130)/(G130-F130)),"")</f>
        <v/>
      </c>
      <c r="O130" s="4" t="str">
        <f aca="false">IF(L130="","",IF(L130&gt;0,"Win",IF(L130&lt;0,"Loss","Break Even")))</f>
        <v/>
      </c>
      <c r="P130" s="4"/>
      <c r="Q130" s="4"/>
      <c r="R130" s="4"/>
    </row>
    <row r="131" customFormat="false" ht="15" hidden="false" customHeight="false" outlineLevel="0" collapsed="false">
      <c r="A131" s="9" t="str">
        <f aca="false">IF(B131&lt;&gt;"",ROW()-3,"")</f>
        <v/>
      </c>
      <c r="B131" s="10"/>
      <c r="C131" s="9" t="str">
        <f aca="false">IF(B131&lt;&gt;"",TEXT(B131,"DDDD"),"")</f>
        <v/>
      </c>
      <c r="D131" s="9"/>
      <c r="E131" s="9"/>
      <c r="F131" s="9"/>
      <c r="G131" s="9"/>
      <c r="H131" s="9"/>
      <c r="I131" s="9"/>
      <c r="J131" s="9"/>
      <c r="K131" s="11" t="str">
        <f aca="false">IF(AND(B131&lt;&gt;"",I131&lt;&gt;"",F131&lt;&gt;""),IF(E131="Long",(I131-F131)*20,(F131-I131)*20),"")</f>
        <v/>
      </c>
      <c r="L131" s="12" t="str">
        <f aca="false">IF(AND(K131&lt;&gt;"",J131&lt;&gt;""),K131*J131,"")</f>
        <v/>
      </c>
      <c r="M131" s="13" t="str">
        <f aca="false">IF(AND(F131&lt;&gt;"",G131&lt;&gt;"",H131&lt;&gt;""),IF(E131="Long",(H131-F131)/(F131-G131),(F131-H131)/(G131-F131)),"")</f>
        <v/>
      </c>
      <c r="N131" s="13" t="str">
        <f aca="false">IF(AND(F131&lt;&gt;"",G131&lt;&gt;"",I131&lt;&gt;""),IF(E131="Long",(I131-F131)/(F131-G131),(F131-I131)/(G131-F131)),"")</f>
        <v/>
      </c>
      <c r="O131" s="9" t="str">
        <f aca="false">IF(L131="","",IF(L131&gt;0,"Win",IF(L131&lt;0,"Loss","Break Even")))</f>
        <v/>
      </c>
      <c r="P131" s="9"/>
      <c r="Q131" s="9"/>
      <c r="R131" s="9"/>
    </row>
    <row r="132" customFormat="false" ht="15" hidden="false" customHeight="false" outlineLevel="0" collapsed="false">
      <c r="A132" s="4" t="str">
        <f aca="false">IF(B132&lt;&gt;"",ROW()-3,"")</f>
        <v/>
      </c>
      <c r="B132" s="5"/>
      <c r="C132" s="4" t="str">
        <f aca="false">IF(B132&lt;&gt;"",TEXT(B132,"DDDD"),"")</f>
        <v/>
      </c>
      <c r="D132" s="4"/>
      <c r="E132" s="4"/>
      <c r="F132" s="4"/>
      <c r="G132" s="4"/>
      <c r="H132" s="4"/>
      <c r="I132" s="4"/>
      <c r="J132" s="4"/>
      <c r="K132" s="6" t="str">
        <f aca="false">IF(AND(B132&lt;&gt;"",I132&lt;&gt;"",F132&lt;&gt;""),IF(E132="Long",(I132-F132)*20,(F132-I132)*20),"")</f>
        <v/>
      </c>
      <c r="L132" s="7" t="str">
        <f aca="false">IF(AND(K132&lt;&gt;"",J132&lt;&gt;""),K132*J132,"")</f>
        <v/>
      </c>
      <c r="M132" s="8" t="str">
        <f aca="false">IF(AND(F132&lt;&gt;"",G132&lt;&gt;"",H132&lt;&gt;""),IF(E132="Long",(H132-F132)/(F132-G132),(F132-H132)/(G132-F132)),"")</f>
        <v/>
      </c>
      <c r="N132" s="8" t="str">
        <f aca="false">IF(AND(F132&lt;&gt;"",G132&lt;&gt;"",I132&lt;&gt;""),IF(E132="Long",(I132-F132)/(F132-G132),(F132-I132)/(G132-F132)),"")</f>
        <v/>
      </c>
      <c r="O132" s="4" t="str">
        <f aca="false">IF(L132="","",IF(L132&gt;0,"Win",IF(L132&lt;0,"Loss","Break Even")))</f>
        <v/>
      </c>
      <c r="P132" s="4"/>
      <c r="Q132" s="4"/>
      <c r="R132" s="4"/>
    </row>
    <row r="133" customFormat="false" ht="15" hidden="false" customHeight="false" outlineLevel="0" collapsed="false">
      <c r="A133" s="9" t="str">
        <f aca="false">IF(B133&lt;&gt;"",ROW()-3,"")</f>
        <v/>
      </c>
      <c r="B133" s="10"/>
      <c r="C133" s="9" t="str">
        <f aca="false">IF(B133&lt;&gt;"",TEXT(B133,"DDDD"),"")</f>
        <v/>
      </c>
      <c r="D133" s="9"/>
      <c r="E133" s="9"/>
      <c r="F133" s="9"/>
      <c r="G133" s="9"/>
      <c r="H133" s="9"/>
      <c r="I133" s="9"/>
      <c r="J133" s="9"/>
      <c r="K133" s="11" t="str">
        <f aca="false">IF(AND(B133&lt;&gt;"",I133&lt;&gt;"",F133&lt;&gt;""),IF(E133="Long",(I133-F133)*20,(F133-I133)*20),"")</f>
        <v/>
      </c>
      <c r="L133" s="12" t="str">
        <f aca="false">IF(AND(K133&lt;&gt;"",J133&lt;&gt;""),K133*J133,"")</f>
        <v/>
      </c>
      <c r="M133" s="13" t="str">
        <f aca="false">IF(AND(F133&lt;&gt;"",G133&lt;&gt;"",H133&lt;&gt;""),IF(E133="Long",(H133-F133)/(F133-G133),(F133-H133)/(G133-F133)),"")</f>
        <v/>
      </c>
      <c r="N133" s="13" t="str">
        <f aca="false">IF(AND(F133&lt;&gt;"",G133&lt;&gt;"",I133&lt;&gt;""),IF(E133="Long",(I133-F133)/(F133-G133),(F133-I133)/(G133-F133)),"")</f>
        <v/>
      </c>
      <c r="O133" s="9" t="str">
        <f aca="false">IF(L133="","",IF(L133&gt;0,"Win",IF(L133&lt;0,"Loss","Break Even")))</f>
        <v/>
      </c>
      <c r="P133" s="9"/>
      <c r="Q133" s="9"/>
      <c r="R133" s="9"/>
    </row>
    <row r="134" customFormat="false" ht="15" hidden="false" customHeight="false" outlineLevel="0" collapsed="false">
      <c r="A134" s="4" t="str">
        <f aca="false">IF(B134&lt;&gt;"",ROW()-3,"")</f>
        <v/>
      </c>
      <c r="B134" s="5"/>
      <c r="C134" s="4" t="str">
        <f aca="false">IF(B134&lt;&gt;"",TEXT(B134,"DDDD"),"")</f>
        <v/>
      </c>
      <c r="D134" s="4"/>
      <c r="E134" s="4"/>
      <c r="F134" s="4"/>
      <c r="G134" s="4"/>
      <c r="H134" s="4"/>
      <c r="I134" s="4"/>
      <c r="J134" s="4"/>
      <c r="K134" s="6" t="str">
        <f aca="false">IF(AND(B134&lt;&gt;"",I134&lt;&gt;"",F134&lt;&gt;""),IF(E134="Long",(I134-F134)*20,(F134-I134)*20),"")</f>
        <v/>
      </c>
      <c r="L134" s="7" t="str">
        <f aca="false">IF(AND(K134&lt;&gt;"",J134&lt;&gt;""),K134*J134,"")</f>
        <v/>
      </c>
      <c r="M134" s="8" t="str">
        <f aca="false">IF(AND(F134&lt;&gt;"",G134&lt;&gt;"",H134&lt;&gt;""),IF(E134="Long",(H134-F134)/(F134-G134),(F134-H134)/(G134-F134)),"")</f>
        <v/>
      </c>
      <c r="N134" s="8" t="str">
        <f aca="false">IF(AND(F134&lt;&gt;"",G134&lt;&gt;"",I134&lt;&gt;""),IF(E134="Long",(I134-F134)/(F134-G134),(F134-I134)/(G134-F134)),"")</f>
        <v/>
      </c>
      <c r="O134" s="4" t="str">
        <f aca="false">IF(L134="","",IF(L134&gt;0,"Win",IF(L134&lt;0,"Loss","Break Even")))</f>
        <v/>
      </c>
      <c r="P134" s="4"/>
      <c r="Q134" s="4"/>
      <c r="R134" s="4"/>
    </row>
    <row r="135" customFormat="false" ht="15" hidden="false" customHeight="false" outlineLevel="0" collapsed="false">
      <c r="A135" s="9" t="str">
        <f aca="false">IF(B135&lt;&gt;"",ROW()-3,"")</f>
        <v/>
      </c>
      <c r="B135" s="10"/>
      <c r="C135" s="9" t="str">
        <f aca="false">IF(B135&lt;&gt;"",TEXT(B135,"DDDD"),"")</f>
        <v/>
      </c>
      <c r="D135" s="9"/>
      <c r="E135" s="9"/>
      <c r="F135" s="9"/>
      <c r="G135" s="9"/>
      <c r="H135" s="9"/>
      <c r="I135" s="9"/>
      <c r="J135" s="9"/>
      <c r="K135" s="11" t="str">
        <f aca="false">IF(AND(B135&lt;&gt;"",I135&lt;&gt;"",F135&lt;&gt;""),IF(E135="Long",(I135-F135)*20,(F135-I135)*20),"")</f>
        <v/>
      </c>
      <c r="L135" s="12" t="str">
        <f aca="false">IF(AND(K135&lt;&gt;"",J135&lt;&gt;""),K135*J135,"")</f>
        <v/>
      </c>
      <c r="M135" s="13" t="str">
        <f aca="false">IF(AND(F135&lt;&gt;"",G135&lt;&gt;"",H135&lt;&gt;""),IF(E135="Long",(H135-F135)/(F135-G135),(F135-H135)/(G135-F135)),"")</f>
        <v/>
      </c>
      <c r="N135" s="13" t="str">
        <f aca="false">IF(AND(F135&lt;&gt;"",G135&lt;&gt;"",I135&lt;&gt;""),IF(E135="Long",(I135-F135)/(F135-G135),(F135-I135)/(G135-F135)),"")</f>
        <v/>
      </c>
      <c r="O135" s="9" t="str">
        <f aca="false">IF(L135="","",IF(L135&gt;0,"Win",IF(L135&lt;0,"Loss","Break Even")))</f>
        <v/>
      </c>
      <c r="P135" s="9"/>
      <c r="Q135" s="9"/>
      <c r="R135" s="9"/>
    </row>
    <row r="136" customFormat="false" ht="15" hidden="false" customHeight="false" outlineLevel="0" collapsed="false">
      <c r="A136" s="4" t="str">
        <f aca="false">IF(B136&lt;&gt;"",ROW()-3,"")</f>
        <v/>
      </c>
      <c r="B136" s="5"/>
      <c r="C136" s="4" t="str">
        <f aca="false">IF(B136&lt;&gt;"",TEXT(B136,"DDDD"),"")</f>
        <v/>
      </c>
      <c r="D136" s="4"/>
      <c r="E136" s="4"/>
      <c r="F136" s="4"/>
      <c r="G136" s="4"/>
      <c r="H136" s="4"/>
      <c r="I136" s="4"/>
      <c r="J136" s="4"/>
      <c r="K136" s="6" t="str">
        <f aca="false">IF(AND(B136&lt;&gt;"",I136&lt;&gt;"",F136&lt;&gt;""),IF(E136="Long",(I136-F136)*20,(F136-I136)*20),"")</f>
        <v/>
      </c>
      <c r="L136" s="7" t="str">
        <f aca="false">IF(AND(K136&lt;&gt;"",J136&lt;&gt;""),K136*J136,"")</f>
        <v/>
      </c>
      <c r="M136" s="8" t="str">
        <f aca="false">IF(AND(F136&lt;&gt;"",G136&lt;&gt;"",H136&lt;&gt;""),IF(E136="Long",(H136-F136)/(F136-G136),(F136-H136)/(G136-F136)),"")</f>
        <v/>
      </c>
      <c r="N136" s="8" t="str">
        <f aca="false">IF(AND(F136&lt;&gt;"",G136&lt;&gt;"",I136&lt;&gt;""),IF(E136="Long",(I136-F136)/(F136-G136),(F136-I136)/(G136-F136)),"")</f>
        <v/>
      </c>
      <c r="O136" s="4" t="str">
        <f aca="false">IF(L136="","",IF(L136&gt;0,"Win",IF(L136&lt;0,"Loss","Break Even")))</f>
        <v/>
      </c>
      <c r="P136" s="4"/>
      <c r="Q136" s="4"/>
      <c r="R136" s="4"/>
    </row>
    <row r="137" customFormat="false" ht="15" hidden="false" customHeight="false" outlineLevel="0" collapsed="false">
      <c r="A137" s="9" t="str">
        <f aca="false">IF(B137&lt;&gt;"",ROW()-3,"")</f>
        <v/>
      </c>
      <c r="B137" s="10"/>
      <c r="C137" s="9" t="str">
        <f aca="false">IF(B137&lt;&gt;"",TEXT(B137,"DDDD"),"")</f>
        <v/>
      </c>
      <c r="D137" s="9"/>
      <c r="E137" s="9"/>
      <c r="F137" s="9"/>
      <c r="G137" s="9"/>
      <c r="H137" s="9"/>
      <c r="I137" s="9"/>
      <c r="J137" s="9"/>
      <c r="K137" s="11" t="str">
        <f aca="false">IF(AND(B137&lt;&gt;"",I137&lt;&gt;"",F137&lt;&gt;""),IF(E137="Long",(I137-F137)*20,(F137-I137)*20),"")</f>
        <v/>
      </c>
      <c r="L137" s="12" t="str">
        <f aca="false">IF(AND(K137&lt;&gt;"",J137&lt;&gt;""),K137*J137,"")</f>
        <v/>
      </c>
      <c r="M137" s="13" t="str">
        <f aca="false">IF(AND(F137&lt;&gt;"",G137&lt;&gt;"",H137&lt;&gt;""),IF(E137="Long",(H137-F137)/(F137-G137),(F137-H137)/(G137-F137)),"")</f>
        <v/>
      </c>
      <c r="N137" s="13" t="str">
        <f aca="false">IF(AND(F137&lt;&gt;"",G137&lt;&gt;"",I137&lt;&gt;""),IF(E137="Long",(I137-F137)/(F137-G137),(F137-I137)/(G137-F137)),"")</f>
        <v/>
      </c>
      <c r="O137" s="9" t="str">
        <f aca="false">IF(L137="","",IF(L137&gt;0,"Win",IF(L137&lt;0,"Loss","Break Even")))</f>
        <v/>
      </c>
      <c r="P137" s="9"/>
      <c r="Q137" s="9"/>
      <c r="R137" s="9"/>
    </row>
    <row r="138" customFormat="false" ht="15" hidden="false" customHeight="false" outlineLevel="0" collapsed="false">
      <c r="A138" s="4" t="str">
        <f aca="false">IF(B138&lt;&gt;"",ROW()-3,"")</f>
        <v/>
      </c>
      <c r="B138" s="5"/>
      <c r="C138" s="4" t="str">
        <f aca="false">IF(B138&lt;&gt;"",TEXT(B138,"DDDD"),"")</f>
        <v/>
      </c>
      <c r="D138" s="4"/>
      <c r="E138" s="4"/>
      <c r="F138" s="4"/>
      <c r="G138" s="4"/>
      <c r="H138" s="4"/>
      <c r="I138" s="4"/>
      <c r="J138" s="4"/>
      <c r="K138" s="6" t="str">
        <f aca="false">IF(AND(B138&lt;&gt;"",I138&lt;&gt;"",F138&lt;&gt;""),IF(E138="Long",(I138-F138)*20,(F138-I138)*20),"")</f>
        <v/>
      </c>
      <c r="L138" s="7" t="str">
        <f aca="false">IF(AND(K138&lt;&gt;"",J138&lt;&gt;""),K138*J138,"")</f>
        <v/>
      </c>
      <c r="M138" s="8" t="str">
        <f aca="false">IF(AND(F138&lt;&gt;"",G138&lt;&gt;"",H138&lt;&gt;""),IF(E138="Long",(H138-F138)/(F138-G138),(F138-H138)/(G138-F138)),"")</f>
        <v/>
      </c>
      <c r="N138" s="8" t="str">
        <f aca="false">IF(AND(F138&lt;&gt;"",G138&lt;&gt;"",I138&lt;&gt;""),IF(E138="Long",(I138-F138)/(F138-G138),(F138-I138)/(G138-F138)),"")</f>
        <v/>
      </c>
      <c r="O138" s="4" t="str">
        <f aca="false">IF(L138="","",IF(L138&gt;0,"Win",IF(L138&lt;0,"Loss","Break Even")))</f>
        <v/>
      </c>
      <c r="P138" s="4"/>
      <c r="Q138" s="4"/>
      <c r="R138" s="4"/>
    </row>
    <row r="139" customFormat="false" ht="15" hidden="false" customHeight="false" outlineLevel="0" collapsed="false">
      <c r="A139" s="9" t="str">
        <f aca="false">IF(B139&lt;&gt;"",ROW()-3,"")</f>
        <v/>
      </c>
      <c r="B139" s="10"/>
      <c r="C139" s="9" t="str">
        <f aca="false">IF(B139&lt;&gt;"",TEXT(B139,"DDDD"),"")</f>
        <v/>
      </c>
      <c r="D139" s="9"/>
      <c r="E139" s="9"/>
      <c r="F139" s="9"/>
      <c r="G139" s="9"/>
      <c r="H139" s="9"/>
      <c r="I139" s="9"/>
      <c r="J139" s="9"/>
      <c r="K139" s="11" t="str">
        <f aca="false">IF(AND(B139&lt;&gt;"",I139&lt;&gt;"",F139&lt;&gt;""),IF(E139="Long",(I139-F139)*20,(F139-I139)*20),"")</f>
        <v/>
      </c>
      <c r="L139" s="12" t="str">
        <f aca="false">IF(AND(K139&lt;&gt;"",J139&lt;&gt;""),K139*J139,"")</f>
        <v/>
      </c>
      <c r="M139" s="13" t="str">
        <f aca="false">IF(AND(F139&lt;&gt;"",G139&lt;&gt;"",H139&lt;&gt;""),IF(E139="Long",(H139-F139)/(F139-G139),(F139-H139)/(G139-F139)),"")</f>
        <v/>
      </c>
      <c r="N139" s="13" t="str">
        <f aca="false">IF(AND(F139&lt;&gt;"",G139&lt;&gt;"",I139&lt;&gt;""),IF(E139="Long",(I139-F139)/(F139-G139),(F139-I139)/(G139-F139)),"")</f>
        <v/>
      </c>
      <c r="O139" s="9" t="str">
        <f aca="false">IF(L139="","",IF(L139&gt;0,"Win",IF(L139&lt;0,"Loss","Break Even")))</f>
        <v/>
      </c>
      <c r="P139" s="9"/>
      <c r="Q139" s="9"/>
      <c r="R139" s="9"/>
    </row>
    <row r="140" customFormat="false" ht="15" hidden="false" customHeight="false" outlineLevel="0" collapsed="false">
      <c r="A140" s="4" t="str">
        <f aca="false">IF(B140&lt;&gt;"",ROW()-3,"")</f>
        <v/>
      </c>
      <c r="B140" s="5"/>
      <c r="C140" s="4" t="str">
        <f aca="false">IF(B140&lt;&gt;"",TEXT(B140,"DDDD"),"")</f>
        <v/>
      </c>
      <c r="D140" s="4"/>
      <c r="E140" s="4"/>
      <c r="F140" s="4"/>
      <c r="G140" s="4"/>
      <c r="H140" s="4"/>
      <c r="I140" s="4"/>
      <c r="J140" s="4"/>
      <c r="K140" s="6" t="str">
        <f aca="false">IF(AND(B140&lt;&gt;"",I140&lt;&gt;"",F140&lt;&gt;""),IF(E140="Long",(I140-F140)*20,(F140-I140)*20),"")</f>
        <v/>
      </c>
      <c r="L140" s="7" t="str">
        <f aca="false">IF(AND(K140&lt;&gt;"",J140&lt;&gt;""),K140*J140,"")</f>
        <v/>
      </c>
      <c r="M140" s="8" t="str">
        <f aca="false">IF(AND(F140&lt;&gt;"",G140&lt;&gt;"",H140&lt;&gt;""),IF(E140="Long",(H140-F140)/(F140-G140),(F140-H140)/(G140-F140)),"")</f>
        <v/>
      </c>
      <c r="N140" s="8" t="str">
        <f aca="false">IF(AND(F140&lt;&gt;"",G140&lt;&gt;"",I140&lt;&gt;""),IF(E140="Long",(I140-F140)/(F140-G140),(F140-I140)/(G140-F140)),"")</f>
        <v/>
      </c>
      <c r="O140" s="4" t="str">
        <f aca="false">IF(L140="","",IF(L140&gt;0,"Win",IF(L140&lt;0,"Loss","Break Even")))</f>
        <v/>
      </c>
      <c r="P140" s="4"/>
      <c r="Q140" s="4"/>
      <c r="R140" s="4"/>
    </row>
    <row r="141" customFormat="false" ht="15" hidden="false" customHeight="false" outlineLevel="0" collapsed="false">
      <c r="A141" s="9" t="str">
        <f aca="false">IF(B141&lt;&gt;"",ROW()-3,"")</f>
        <v/>
      </c>
      <c r="B141" s="10"/>
      <c r="C141" s="9" t="str">
        <f aca="false">IF(B141&lt;&gt;"",TEXT(B141,"DDDD"),"")</f>
        <v/>
      </c>
      <c r="D141" s="9"/>
      <c r="E141" s="9"/>
      <c r="F141" s="9"/>
      <c r="G141" s="9"/>
      <c r="H141" s="9"/>
      <c r="I141" s="9"/>
      <c r="J141" s="9"/>
      <c r="K141" s="11" t="str">
        <f aca="false">IF(AND(B141&lt;&gt;"",I141&lt;&gt;"",F141&lt;&gt;""),IF(E141="Long",(I141-F141)*20,(F141-I141)*20),"")</f>
        <v/>
      </c>
      <c r="L141" s="12" t="str">
        <f aca="false">IF(AND(K141&lt;&gt;"",J141&lt;&gt;""),K141*J141,"")</f>
        <v/>
      </c>
      <c r="M141" s="13" t="str">
        <f aca="false">IF(AND(F141&lt;&gt;"",G141&lt;&gt;"",H141&lt;&gt;""),IF(E141="Long",(H141-F141)/(F141-G141),(F141-H141)/(G141-F141)),"")</f>
        <v/>
      </c>
      <c r="N141" s="13" t="str">
        <f aca="false">IF(AND(F141&lt;&gt;"",G141&lt;&gt;"",I141&lt;&gt;""),IF(E141="Long",(I141-F141)/(F141-G141),(F141-I141)/(G141-F141)),"")</f>
        <v/>
      </c>
      <c r="O141" s="9" t="str">
        <f aca="false">IF(L141="","",IF(L141&gt;0,"Win",IF(L141&lt;0,"Loss","Break Even")))</f>
        <v/>
      </c>
      <c r="P141" s="9"/>
      <c r="Q141" s="9"/>
      <c r="R141" s="9"/>
    </row>
    <row r="142" customFormat="false" ht="15" hidden="false" customHeight="false" outlineLevel="0" collapsed="false">
      <c r="A142" s="4" t="str">
        <f aca="false">IF(B142&lt;&gt;"",ROW()-3,"")</f>
        <v/>
      </c>
      <c r="B142" s="5"/>
      <c r="C142" s="4" t="str">
        <f aca="false">IF(B142&lt;&gt;"",TEXT(B142,"DDDD"),"")</f>
        <v/>
      </c>
      <c r="D142" s="4"/>
      <c r="E142" s="4"/>
      <c r="F142" s="4"/>
      <c r="G142" s="4"/>
      <c r="H142" s="4"/>
      <c r="I142" s="4"/>
      <c r="J142" s="4"/>
      <c r="K142" s="6" t="str">
        <f aca="false">IF(AND(B142&lt;&gt;"",I142&lt;&gt;"",F142&lt;&gt;""),IF(E142="Long",(I142-F142)*20,(F142-I142)*20),"")</f>
        <v/>
      </c>
      <c r="L142" s="7" t="str">
        <f aca="false">IF(AND(K142&lt;&gt;"",J142&lt;&gt;""),K142*J142,"")</f>
        <v/>
      </c>
      <c r="M142" s="8" t="str">
        <f aca="false">IF(AND(F142&lt;&gt;"",G142&lt;&gt;"",H142&lt;&gt;""),IF(E142="Long",(H142-F142)/(F142-G142),(F142-H142)/(G142-F142)),"")</f>
        <v/>
      </c>
      <c r="N142" s="8" t="str">
        <f aca="false">IF(AND(F142&lt;&gt;"",G142&lt;&gt;"",I142&lt;&gt;""),IF(E142="Long",(I142-F142)/(F142-G142),(F142-I142)/(G142-F142)),"")</f>
        <v/>
      </c>
      <c r="O142" s="4" t="str">
        <f aca="false">IF(L142="","",IF(L142&gt;0,"Win",IF(L142&lt;0,"Loss","Break Even")))</f>
        <v/>
      </c>
      <c r="P142" s="4"/>
      <c r="Q142" s="4"/>
      <c r="R142" s="4"/>
    </row>
    <row r="143" customFormat="false" ht="15" hidden="false" customHeight="false" outlineLevel="0" collapsed="false">
      <c r="A143" s="9" t="str">
        <f aca="false">IF(B143&lt;&gt;"",ROW()-3,"")</f>
        <v/>
      </c>
      <c r="B143" s="10"/>
      <c r="C143" s="9" t="str">
        <f aca="false">IF(B143&lt;&gt;"",TEXT(B143,"DDDD"),"")</f>
        <v/>
      </c>
      <c r="D143" s="9"/>
      <c r="E143" s="9"/>
      <c r="F143" s="9"/>
      <c r="G143" s="9"/>
      <c r="H143" s="9"/>
      <c r="I143" s="9"/>
      <c r="J143" s="9"/>
      <c r="K143" s="11" t="str">
        <f aca="false">IF(AND(B143&lt;&gt;"",I143&lt;&gt;"",F143&lt;&gt;""),IF(E143="Long",(I143-F143)*20,(F143-I143)*20),"")</f>
        <v/>
      </c>
      <c r="L143" s="12" t="str">
        <f aca="false">IF(AND(K143&lt;&gt;"",J143&lt;&gt;""),K143*J143,"")</f>
        <v/>
      </c>
      <c r="M143" s="13" t="str">
        <f aca="false">IF(AND(F143&lt;&gt;"",G143&lt;&gt;"",H143&lt;&gt;""),IF(E143="Long",(H143-F143)/(F143-G143),(F143-H143)/(G143-F143)),"")</f>
        <v/>
      </c>
      <c r="N143" s="13" t="str">
        <f aca="false">IF(AND(F143&lt;&gt;"",G143&lt;&gt;"",I143&lt;&gt;""),IF(E143="Long",(I143-F143)/(F143-G143),(F143-I143)/(G143-F143)),"")</f>
        <v/>
      </c>
      <c r="O143" s="9" t="str">
        <f aca="false">IF(L143="","",IF(L143&gt;0,"Win",IF(L143&lt;0,"Loss","Break Even")))</f>
        <v/>
      </c>
      <c r="P143" s="9"/>
      <c r="Q143" s="9"/>
      <c r="R143" s="9"/>
    </row>
    <row r="144" customFormat="false" ht="15" hidden="false" customHeight="false" outlineLevel="0" collapsed="false">
      <c r="A144" s="4" t="str">
        <f aca="false">IF(B144&lt;&gt;"",ROW()-3,"")</f>
        <v/>
      </c>
      <c r="B144" s="5"/>
      <c r="C144" s="4" t="str">
        <f aca="false">IF(B144&lt;&gt;"",TEXT(B144,"DDDD"),"")</f>
        <v/>
      </c>
      <c r="D144" s="4"/>
      <c r="E144" s="4"/>
      <c r="F144" s="4"/>
      <c r="G144" s="4"/>
      <c r="H144" s="4"/>
      <c r="I144" s="4"/>
      <c r="J144" s="4"/>
      <c r="K144" s="6" t="str">
        <f aca="false">IF(AND(B144&lt;&gt;"",I144&lt;&gt;"",F144&lt;&gt;""),IF(E144="Long",(I144-F144)*20,(F144-I144)*20),"")</f>
        <v/>
      </c>
      <c r="L144" s="7" t="str">
        <f aca="false">IF(AND(K144&lt;&gt;"",J144&lt;&gt;""),K144*J144,"")</f>
        <v/>
      </c>
      <c r="M144" s="8" t="str">
        <f aca="false">IF(AND(F144&lt;&gt;"",G144&lt;&gt;"",H144&lt;&gt;""),IF(E144="Long",(H144-F144)/(F144-G144),(F144-H144)/(G144-F144)),"")</f>
        <v/>
      </c>
      <c r="N144" s="8" t="str">
        <f aca="false">IF(AND(F144&lt;&gt;"",G144&lt;&gt;"",I144&lt;&gt;""),IF(E144="Long",(I144-F144)/(F144-G144),(F144-I144)/(G144-F144)),"")</f>
        <v/>
      </c>
      <c r="O144" s="4" t="str">
        <f aca="false">IF(L144="","",IF(L144&gt;0,"Win",IF(L144&lt;0,"Loss","Break Even")))</f>
        <v/>
      </c>
      <c r="P144" s="4"/>
      <c r="Q144" s="4"/>
      <c r="R144" s="4"/>
    </row>
    <row r="145" customFormat="false" ht="15" hidden="false" customHeight="false" outlineLevel="0" collapsed="false">
      <c r="A145" s="9" t="str">
        <f aca="false">IF(B145&lt;&gt;"",ROW()-3,"")</f>
        <v/>
      </c>
      <c r="B145" s="10"/>
      <c r="C145" s="9" t="str">
        <f aca="false">IF(B145&lt;&gt;"",TEXT(B145,"DDDD"),"")</f>
        <v/>
      </c>
      <c r="D145" s="9"/>
      <c r="E145" s="9"/>
      <c r="F145" s="9"/>
      <c r="G145" s="9"/>
      <c r="H145" s="9"/>
      <c r="I145" s="9"/>
      <c r="J145" s="9"/>
      <c r="K145" s="11" t="str">
        <f aca="false">IF(AND(B145&lt;&gt;"",I145&lt;&gt;"",F145&lt;&gt;""),IF(E145="Long",(I145-F145)*20,(F145-I145)*20),"")</f>
        <v/>
      </c>
      <c r="L145" s="12" t="str">
        <f aca="false">IF(AND(K145&lt;&gt;"",J145&lt;&gt;""),K145*J145,"")</f>
        <v/>
      </c>
      <c r="M145" s="13" t="str">
        <f aca="false">IF(AND(F145&lt;&gt;"",G145&lt;&gt;"",H145&lt;&gt;""),IF(E145="Long",(H145-F145)/(F145-G145),(F145-H145)/(G145-F145)),"")</f>
        <v/>
      </c>
      <c r="N145" s="13" t="str">
        <f aca="false">IF(AND(F145&lt;&gt;"",G145&lt;&gt;"",I145&lt;&gt;""),IF(E145="Long",(I145-F145)/(F145-G145),(F145-I145)/(G145-F145)),"")</f>
        <v/>
      </c>
      <c r="O145" s="9" t="str">
        <f aca="false">IF(L145="","",IF(L145&gt;0,"Win",IF(L145&lt;0,"Loss","Break Even")))</f>
        <v/>
      </c>
      <c r="P145" s="9"/>
      <c r="Q145" s="9"/>
      <c r="R145" s="9"/>
    </row>
    <row r="146" customFormat="false" ht="15" hidden="false" customHeight="false" outlineLevel="0" collapsed="false">
      <c r="A146" s="4" t="str">
        <f aca="false">IF(B146&lt;&gt;"",ROW()-3,"")</f>
        <v/>
      </c>
      <c r="B146" s="5"/>
      <c r="C146" s="4" t="str">
        <f aca="false">IF(B146&lt;&gt;"",TEXT(B146,"DDDD"),"")</f>
        <v/>
      </c>
      <c r="D146" s="4"/>
      <c r="E146" s="4"/>
      <c r="F146" s="4"/>
      <c r="G146" s="4"/>
      <c r="H146" s="4"/>
      <c r="I146" s="4"/>
      <c r="J146" s="4"/>
      <c r="K146" s="6" t="str">
        <f aca="false">IF(AND(B146&lt;&gt;"",I146&lt;&gt;"",F146&lt;&gt;""),IF(E146="Long",(I146-F146)*20,(F146-I146)*20),"")</f>
        <v/>
      </c>
      <c r="L146" s="7" t="str">
        <f aca="false">IF(AND(K146&lt;&gt;"",J146&lt;&gt;""),K146*J146,"")</f>
        <v/>
      </c>
      <c r="M146" s="8" t="str">
        <f aca="false">IF(AND(F146&lt;&gt;"",G146&lt;&gt;"",H146&lt;&gt;""),IF(E146="Long",(H146-F146)/(F146-G146),(F146-H146)/(G146-F146)),"")</f>
        <v/>
      </c>
      <c r="N146" s="8" t="str">
        <f aca="false">IF(AND(F146&lt;&gt;"",G146&lt;&gt;"",I146&lt;&gt;""),IF(E146="Long",(I146-F146)/(F146-G146),(F146-I146)/(G146-F146)),"")</f>
        <v/>
      </c>
      <c r="O146" s="4" t="str">
        <f aca="false">IF(L146="","",IF(L146&gt;0,"Win",IF(L146&lt;0,"Loss","Break Even")))</f>
        <v/>
      </c>
      <c r="P146" s="4"/>
      <c r="Q146" s="4"/>
      <c r="R146" s="4"/>
    </row>
    <row r="147" customFormat="false" ht="15" hidden="false" customHeight="false" outlineLevel="0" collapsed="false">
      <c r="A147" s="9" t="str">
        <f aca="false">IF(B147&lt;&gt;"",ROW()-3,"")</f>
        <v/>
      </c>
      <c r="B147" s="10"/>
      <c r="C147" s="9" t="str">
        <f aca="false">IF(B147&lt;&gt;"",TEXT(B147,"DDDD"),"")</f>
        <v/>
      </c>
      <c r="D147" s="9"/>
      <c r="E147" s="9"/>
      <c r="F147" s="9"/>
      <c r="G147" s="9"/>
      <c r="H147" s="9"/>
      <c r="I147" s="9"/>
      <c r="J147" s="9"/>
      <c r="K147" s="11" t="str">
        <f aca="false">IF(AND(B147&lt;&gt;"",I147&lt;&gt;"",F147&lt;&gt;""),IF(E147="Long",(I147-F147)*20,(F147-I147)*20),"")</f>
        <v/>
      </c>
      <c r="L147" s="12" t="str">
        <f aca="false">IF(AND(K147&lt;&gt;"",J147&lt;&gt;""),K147*J147,"")</f>
        <v/>
      </c>
      <c r="M147" s="13" t="str">
        <f aca="false">IF(AND(F147&lt;&gt;"",G147&lt;&gt;"",H147&lt;&gt;""),IF(E147="Long",(H147-F147)/(F147-G147),(F147-H147)/(G147-F147)),"")</f>
        <v/>
      </c>
      <c r="N147" s="13" t="str">
        <f aca="false">IF(AND(F147&lt;&gt;"",G147&lt;&gt;"",I147&lt;&gt;""),IF(E147="Long",(I147-F147)/(F147-G147),(F147-I147)/(G147-F147)),"")</f>
        <v/>
      </c>
      <c r="O147" s="9" t="str">
        <f aca="false">IF(L147="","",IF(L147&gt;0,"Win",IF(L147&lt;0,"Loss","Break Even")))</f>
        <v/>
      </c>
      <c r="P147" s="9"/>
      <c r="Q147" s="9"/>
      <c r="R147" s="9"/>
    </row>
    <row r="148" customFormat="false" ht="15" hidden="false" customHeight="false" outlineLevel="0" collapsed="false">
      <c r="A148" s="4" t="str">
        <f aca="false">IF(B148&lt;&gt;"",ROW()-3,"")</f>
        <v/>
      </c>
      <c r="B148" s="5"/>
      <c r="C148" s="4" t="str">
        <f aca="false">IF(B148&lt;&gt;"",TEXT(B148,"DDDD"),"")</f>
        <v/>
      </c>
      <c r="D148" s="4"/>
      <c r="E148" s="4"/>
      <c r="F148" s="4"/>
      <c r="G148" s="4"/>
      <c r="H148" s="4"/>
      <c r="I148" s="4"/>
      <c r="J148" s="4"/>
      <c r="K148" s="6" t="str">
        <f aca="false">IF(AND(B148&lt;&gt;"",I148&lt;&gt;"",F148&lt;&gt;""),IF(E148="Long",(I148-F148)*20,(F148-I148)*20),"")</f>
        <v/>
      </c>
      <c r="L148" s="7" t="str">
        <f aca="false">IF(AND(K148&lt;&gt;"",J148&lt;&gt;""),K148*J148,"")</f>
        <v/>
      </c>
      <c r="M148" s="8" t="str">
        <f aca="false">IF(AND(F148&lt;&gt;"",G148&lt;&gt;"",H148&lt;&gt;""),IF(E148="Long",(H148-F148)/(F148-G148),(F148-H148)/(G148-F148)),"")</f>
        <v/>
      </c>
      <c r="N148" s="8" t="str">
        <f aca="false">IF(AND(F148&lt;&gt;"",G148&lt;&gt;"",I148&lt;&gt;""),IF(E148="Long",(I148-F148)/(F148-G148),(F148-I148)/(G148-F148)),"")</f>
        <v/>
      </c>
      <c r="O148" s="4" t="str">
        <f aca="false">IF(L148="","",IF(L148&gt;0,"Win",IF(L148&lt;0,"Loss","Break Even")))</f>
        <v/>
      </c>
      <c r="P148" s="4"/>
      <c r="Q148" s="4"/>
      <c r="R148" s="4"/>
    </row>
    <row r="149" customFormat="false" ht="15" hidden="false" customHeight="false" outlineLevel="0" collapsed="false">
      <c r="A149" s="9" t="str">
        <f aca="false">IF(B149&lt;&gt;"",ROW()-3,"")</f>
        <v/>
      </c>
      <c r="B149" s="10"/>
      <c r="C149" s="9" t="str">
        <f aca="false">IF(B149&lt;&gt;"",TEXT(B149,"DDDD"),"")</f>
        <v/>
      </c>
      <c r="D149" s="9"/>
      <c r="E149" s="9"/>
      <c r="F149" s="9"/>
      <c r="G149" s="9"/>
      <c r="H149" s="9"/>
      <c r="I149" s="9"/>
      <c r="J149" s="9"/>
      <c r="K149" s="11" t="str">
        <f aca="false">IF(AND(B149&lt;&gt;"",I149&lt;&gt;"",F149&lt;&gt;""),IF(E149="Long",(I149-F149)*20,(F149-I149)*20),"")</f>
        <v/>
      </c>
      <c r="L149" s="12" t="str">
        <f aca="false">IF(AND(K149&lt;&gt;"",J149&lt;&gt;""),K149*J149,"")</f>
        <v/>
      </c>
      <c r="M149" s="13" t="str">
        <f aca="false">IF(AND(F149&lt;&gt;"",G149&lt;&gt;"",H149&lt;&gt;""),IF(E149="Long",(H149-F149)/(F149-G149),(F149-H149)/(G149-F149)),"")</f>
        <v/>
      </c>
      <c r="N149" s="13" t="str">
        <f aca="false">IF(AND(F149&lt;&gt;"",G149&lt;&gt;"",I149&lt;&gt;""),IF(E149="Long",(I149-F149)/(F149-G149),(F149-I149)/(G149-F149)),"")</f>
        <v/>
      </c>
      <c r="O149" s="9" t="str">
        <f aca="false">IF(L149="","",IF(L149&gt;0,"Win",IF(L149&lt;0,"Loss","Break Even")))</f>
        <v/>
      </c>
      <c r="P149" s="9"/>
      <c r="Q149" s="9"/>
      <c r="R149" s="9"/>
    </row>
    <row r="150" customFormat="false" ht="15" hidden="false" customHeight="false" outlineLevel="0" collapsed="false">
      <c r="A150" s="4" t="str">
        <f aca="false">IF(B150&lt;&gt;"",ROW()-3,"")</f>
        <v/>
      </c>
      <c r="B150" s="5"/>
      <c r="C150" s="4" t="str">
        <f aca="false">IF(B150&lt;&gt;"",TEXT(B150,"DDDD"),"")</f>
        <v/>
      </c>
      <c r="D150" s="4"/>
      <c r="E150" s="4"/>
      <c r="F150" s="4"/>
      <c r="G150" s="4"/>
      <c r="H150" s="4"/>
      <c r="I150" s="4"/>
      <c r="J150" s="4"/>
      <c r="K150" s="6" t="str">
        <f aca="false">IF(AND(B150&lt;&gt;"",I150&lt;&gt;"",F150&lt;&gt;""),IF(E150="Long",(I150-F150)*20,(F150-I150)*20),"")</f>
        <v/>
      </c>
      <c r="L150" s="7" t="str">
        <f aca="false">IF(AND(K150&lt;&gt;"",J150&lt;&gt;""),K150*J150,"")</f>
        <v/>
      </c>
      <c r="M150" s="8" t="str">
        <f aca="false">IF(AND(F150&lt;&gt;"",G150&lt;&gt;"",H150&lt;&gt;""),IF(E150="Long",(H150-F150)/(F150-G150),(F150-H150)/(G150-F150)),"")</f>
        <v/>
      </c>
      <c r="N150" s="8" t="str">
        <f aca="false">IF(AND(F150&lt;&gt;"",G150&lt;&gt;"",I150&lt;&gt;""),IF(E150="Long",(I150-F150)/(F150-G150),(F150-I150)/(G150-F150)),"")</f>
        <v/>
      </c>
      <c r="O150" s="4" t="str">
        <f aca="false">IF(L150="","",IF(L150&gt;0,"Win",IF(L150&lt;0,"Loss","Break Even")))</f>
        <v/>
      </c>
      <c r="P150" s="4"/>
      <c r="Q150" s="4"/>
      <c r="R150" s="4"/>
    </row>
    <row r="151" customFormat="false" ht="15" hidden="false" customHeight="false" outlineLevel="0" collapsed="false">
      <c r="A151" s="9" t="str">
        <f aca="false">IF(B151&lt;&gt;"",ROW()-3,"")</f>
        <v/>
      </c>
      <c r="B151" s="10"/>
      <c r="C151" s="9" t="str">
        <f aca="false">IF(B151&lt;&gt;"",TEXT(B151,"DDDD"),"")</f>
        <v/>
      </c>
      <c r="D151" s="9"/>
      <c r="E151" s="9"/>
      <c r="F151" s="9"/>
      <c r="G151" s="9"/>
      <c r="H151" s="9"/>
      <c r="I151" s="9"/>
      <c r="J151" s="9"/>
      <c r="K151" s="11" t="str">
        <f aca="false">IF(AND(B151&lt;&gt;"",I151&lt;&gt;"",F151&lt;&gt;""),IF(E151="Long",(I151-F151)*20,(F151-I151)*20),"")</f>
        <v/>
      </c>
      <c r="L151" s="12" t="str">
        <f aca="false">IF(AND(K151&lt;&gt;"",J151&lt;&gt;""),K151*J151,"")</f>
        <v/>
      </c>
      <c r="M151" s="13" t="str">
        <f aca="false">IF(AND(F151&lt;&gt;"",G151&lt;&gt;"",H151&lt;&gt;""),IF(E151="Long",(H151-F151)/(F151-G151),(F151-H151)/(G151-F151)),"")</f>
        <v/>
      </c>
      <c r="N151" s="13" t="str">
        <f aca="false">IF(AND(F151&lt;&gt;"",G151&lt;&gt;"",I151&lt;&gt;""),IF(E151="Long",(I151-F151)/(F151-G151),(F151-I151)/(G151-F151)),"")</f>
        <v/>
      </c>
      <c r="O151" s="9" t="str">
        <f aca="false">IF(L151="","",IF(L151&gt;0,"Win",IF(L151&lt;0,"Loss","Break Even")))</f>
        <v/>
      </c>
      <c r="P151" s="9"/>
      <c r="Q151" s="9"/>
      <c r="R151" s="9"/>
    </row>
    <row r="152" customFormat="false" ht="15" hidden="false" customHeight="false" outlineLevel="0" collapsed="false">
      <c r="A152" s="4" t="str">
        <f aca="false">IF(B152&lt;&gt;"",ROW()-3,"")</f>
        <v/>
      </c>
      <c r="B152" s="5"/>
      <c r="C152" s="4" t="str">
        <f aca="false">IF(B152&lt;&gt;"",TEXT(B152,"DDDD"),"")</f>
        <v/>
      </c>
      <c r="D152" s="4"/>
      <c r="E152" s="4"/>
      <c r="F152" s="4"/>
      <c r="G152" s="4"/>
      <c r="H152" s="4"/>
      <c r="I152" s="4"/>
      <c r="J152" s="4"/>
      <c r="K152" s="6" t="str">
        <f aca="false">IF(AND(B152&lt;&gt;"",I152&lt;&gt;"",F152&lt;&gt;""),IF(E152="Long",(I152-F152)*20,(F152-I152)*20),"")</f>
        <v/>
      </c>
      <c r="L152" s="7" t="str">
        <f aca="false">IF(AND(K152&lt;&gt;"",J152&lt;&gt;""),K152*J152,"")</f>
        <v/>
      </c>
      <c r="M152" s="8" t="str">
        <f aca="false">IF(AND(F152&lt;&gt;"",G152&lt;&gt;"",H152&lt;&gt;""),IF(E152="Long",(H152-F152)/(F152-G152),(F152-H152)/(G152-F152)),"")</f>
        <v/>
      </c>
      <c r="N152" s="8" t="str">
        <f aca="false">IF(AND(F152&lt;&gt;"",G152&lt;&gt;"",I152&lt;&gt;""),IF(E152="Long",(I152-F152)/(F152-G152),(F152-I152)/(G152-F152)),"")</f>
        <v/>
      </c>
      <c r="O152" s="4" t="str">
        <f aca="false">IF(L152="","",IF(L152&gt;0,"Win",IF(L152&lt;0,"Loss","Break Even")))</f>
        <v/>
      </c>
      <c r="P152" s="4"/>
      <c r="Q152" s="4"/>
      <c r="R152" s="4"/>
    </row>
    <row r="153" customFormat="false" ht="15" hidden="false" customHeight="false" outlineLevel="0" collapsed="false">
      <c r="A153" s="9" t="str">
        <f aca="false">IF(B153&lt;&gt;"",ROW()-3,"")</f>
        <v/>
      </c>
      <c r="B153" s="10"/>
      <c r="C153" s="9" t="str">
        <f aca="false">IF(B153&lt;&gt;"",TEXT(B153,"DDDD"),"")</f>
        <v/>
      </c>
      <c r="D153" s="9"/>
      <c r="E153" s="9"/>
      <c r="F153" s="9"/>
      <c r="G153" s="9"/>
      <c r="H153" s="9"/>
      <c r="I153" s="9"/>
      <c r="J153" s="9"/>
      <c r="K153" s="11" t="str">
        <f aca="false">IF(AND(B153&lt;&gt;"",I153&lt;&gt;"",F153&lt;&gt;""),IF(E153="Long",(I153-F153)*20,(F153-I153)*20),"")</f>
        <v/>
      </c>
      <c r="L153" s="12" t="str">
        <f aca="false">IF(AND(K153&lt;&gt;"",J153&lt;&gt;""),K153*J153,"")</f>
        <v/>
      </c>
      <c r="M153" s="13" t="str">
        <f aca="false">IF(AND(F153&lt;&gt;"",G153&lt;&gt;"",H153&lt;&gt;""),IF(E153="Long",(H153-F153)/(F153-G153),(F153-H153)/(G153-F153)),"")</f>
        <v/>
      </c>
      <c r="N153" s="13" t="str">
        <f aca="false">IF(AND(F153&lt;&gt;"",G153&lt;&gt;"",I153&lt;&gt;""),IF(E153="Long",(I153-F153)/(F153-G153),(F153-I153)/(G153-F153)),"")</f>
        <v/>
      </c>
      <c r="O153" s="9" t="str">
        <f aca="false">IF(L153="","",IF(L153&gt;0,"Win",IF(L153&lt;0,"Loss","Break Even")))</f>
        <v/>
      </c>
      <c r="P153" s="9"/>
      <c r="Q153" s="9"/>
      <c r="R153" s="9"/>
    </row>
    <row r="154" customFormat="false" ht="15" hidden="false" customHeight="false" outlineLevel="0" collapsed="false">
      <c r="A154" s="4" t="str">
        <f aca="false">IF(B154&lt;&gt;"",ROW()-3,"")</f>
        <v/>
      </c>
      <c r="B154" s="5"/>
      <c r="C154" s="4" t="str">
        <f aca="false">IF(B154&lt;&gt;"",TEXT(B154,"DDDD"),"")</f>
        <v/>
      </c>
      <c r="D154" s="4"/>
      <c r="E154" s="4"/>
      <c r="F154" s="4"/>
      <c r="G154" s="4"/>
      <c r="H154" s="4"/>
      <c r="I154" s="4"/>
      <c r="J154" s="4"/>
      <c r="K154" s="6" t="str">
        <f aca="false">IF(AND(B154&lt;&gt;"",I154&lt;&gt;"",F154&lt;&gt;""),IF(E154="Long",(I154-F154)*20,(F154-I154)*20),"")</f>
        <v/>
      </c>
      <c r="L154" s="7" t="str">
        <f aca="false">IF(AND(K154&lt;&gt;"",J154&lt;&gt;""),K154*J154,"")</f>
        <v/>
      </c>
      <c r="M154" s="8" t="str">
        <f aca="false">IF(AND(F154&lt;&gt;"",G154&lt;&gt;"",H154&lt;&gt;""),IF(E154="Long",(H154-F154)/(F154-G154),(F154-H154)/(G154-F154)),"")</f>
        <v/>
      </c>
      <c r="N154" s="8" t="str">
        <f aca="false">IF(AND(F154&lt;&gt;"",G154&lt;&gt;"",I154&lt;&gt;""),IF(E154="Long",(I154-F154)/(F154-G154),(F154-I154)/(G154-F154)),"")</f>
        <v/>
      </c>
      <c r="O154" s="4" t="str">
        <f aca="false">IF(L154="","",IF(L154&gt;0,"Win",IF(L154&lt;0,"Loss","Break Even")))</f>
        <v/>
      </c>
      <c r="P154" s="4"/>
      <c r="Q154" s="4"/>
      <c r="R154" s="4"/>
    </row>
    <row r="155" customFormat="false" ht="15" hidden="false" customHeight="false" outlineLevel="0" collapsed="false">
      <c r="A155" s="9" t="str">
        <f aca="false">IF(B155&lt;&gt;"",ROW()-3,"")</f>
        <v/>
      </c>
      <c r="B155" s="10"/>
      <c r="C155" s="9" t="str">
        <f aca="false">IF(B155&lt;&gt;"",TEXT(B155,"DDDD"),"")</f>
        <v/>
      </c>
      <c r="D155" s="9"/>
      <c r="E155" s="9"/>
      <c r="F155" s="9"/>
      <c r="G155" s="9"/>
      <c r="H155" s="9"/>
      <c r="I155" s="9"/>
      <c r="J155" s="9"/>
      <c r="K155" s="11" t="str">
        <f aca="false">IF(AND(B155&lt;&gt;"",I155&lt;&gt;"",F155&lt;&gt;""),IF(E155="Long",(I155-F155)*20,(F155-I155)*20),"")</f>
        <v/>
      </c>
      <c r="L155" s="12" t="str">
        <f aca="false">IF(AND(K155&lt;&gt;"",J155&lt;&gt;""),K155*J155,"")</f>
        <v/>
      </c>
      <c r="M155" s="13" t="str">
        <f aca="false">IF(AND(F155&lt;&gt;"",G155&lt;&gt;"",H155&lt;&gt;""),IF(E155="Long",(H155-F155)/(F155-G155),(F155-H155)/(G155-F155)),"")</f>
        <v/>
      </c>
      <c r="N155" s="13" t="str">
        <f aca="false">IF(AND(F155&lt;&gt;"",G155&lt;&gt;"",I155&lt;&gt;""),IF(E155="Long",(I155-F155)/(F155-G155),(F155-I155)/(G155-F155)),"")</f>
        <v/>
      </c>
      <c r="O155" s="9" t="str">
        <f aca="false">IF(L155="","",IF(L155&gt;0,"Win",IF(L155&lt;0,"Loss","Break Even")))</f>
        <v/>
      </c>
      <c r="P155" s="9"/>
      <c r="Q155" s="9"/>
      <c r="R155" s="9"/>
    </row>
    <row r="156" customFormat="false" ht="15" hidden="false" customHeight="false" outlineLevel="0" collapsed="false">
      <c r="A156" s="4" t="str">
        <f aca="false">IF(B156&lt;&gt;"",ROW()-3,"")</f>
        <v/>
      </c>
      <c r="B156" s="5"/>
      <c r="C156" s="4" t="str">
        <f aca="false">IF(B156&lt;&gt;"",TEXT(B156,"DDDD"),"")</f>
        <v/>
      </c>
      <c r="D156" s="4"/>
      <c r="E156" s="4"/>
      <c r="F156" s="4"/>
      <c r="G156" s="4"/>
      <c r="H156" s="4"/>
      <c r="I156" s="4"/>
      <c r="J156" s="4"/>
      <c r="K156" s="6" t="str">
        <f aca="false">IF(AND(B156&lt;&gt;"",I156&lt;&gt;"",F156&lt;&gt;""),IF(E156="Long",(I156-F156)*20,(F156-I156)*20),"")</f>
        <v/>
      </c>
      <c r="L156" s="7" t="str">
        <f aca="false">IF(AND(K156&lt;&gt;"",J156&lt;&gt;""),K156*J156,"")</f>
        <v/>
      </c>
      <c r="M156" s="8" t="str">
        <f aca="false">IF(AND(F156&lt;&gt;"",G156&lt;&gt;"",H156&lt;&gt;""),IF(E156="Long",(H156-F156)/(F156-G156),(F156-H156)/(G156-F156)),"")</f>
        <v/>
      </c>
      <c r="N156" s="8" t="str">
        <f aca="false">IF(AND(F156&lt;&gt;"",G156&lt;&gt;"",I156&lt;&gt;""),IF(E156="Long",(I156-F156)/(F156-G156),(F156-I156)/(G156-F156)),"")</f>
        <v/>
      </c>
      <c r="O156" s="4" t="str">
        <f aca="false">IF(L156="","",IF(L156&gt;0,"Win",IF(L156&lt;0,"Loss","Break Even")))</f>
        <v/>
      </c>
      <c r="P156" s="4"/>
      <c r="Q156" s="4"/>
      <c r="R156" s="4"/>
    </row>
    <row r="157" customFormat="false" ht="15" hidden="false" customHeight="false" outlineLevel="0" collapsed="false">
      <c r="A157" s="9" t="str">
        <f aca="false">IF(B157&lt;&gt;"",ROW()-3,"")</f>
        <v/>
      </c>
      <c r="B157" s="10"/>
      <c r="C157" s="9" t="str">
        <f aca="false">IF(B157&lt;&gt;"",TEXT(B157,"DDDD"),"")</f>
        <v/>
      </c>
      <c r="D157" s="9"/>
      <c r="E157" s="9"/>
      <c r="F157" s="9"/>
      <c r="G157" s="9"/>
      <c r="H157" s="9"/>
      <c r="I157" s="9"/>
      <c r="J157" s="9"/>
      <c r="K157" s="11" t="str">
        <f aca="false">IF(AND(B157&lt;&gt;"",I157&lt;&gt;"",F157&lt;&gt;""),IF(E157="Long",(I157-F157)*20,(F157-I157)*20),"")</f>
        <v/>
      </c>
      <c r="L157" s="12" t="str">
        <f aca="false">IF(AND(K157&lt;&gt;"",J157&lt;&gt;""),K157*J157,"")</f>
        <v/>
      </c>
      <c r="M157" s="13" t="str">
        <f aca="false">IF(AND(F157&lt;&gt;"",G157&lt;&gt;"",H157&lt;&gt;""),IF(E157="Long",(H157-F157)/(F157-G157),(F157-H157)/(G157-F157)),"")</f>
        <v/>
      </c>
      <c r="N157" s="13" t="str">
        <f aca="false">IF(AND(F157&lt;&gt;"",G157&lt;&gt;"",I157&lt;&gt;""),IF(E157="Long",(I157-F157)/(F157-G157),(F157-I157)/(G157-F157)),"")</f>
        <v/>
      </c>
      <c r="O157" s="9" t="str">
        <f aca="false">IF(L157="","",IF(L157&gt;0,"Win",IF(L157&lt;0,"Loss","Break Even")))</f>
        <v/>
      </c>
      <c r="P157" s="9"/>
      <c r="Q157" s="9"/>
      <c r="R157" s="9"/>
    </row>
    <row r="158" customFormat="false" ht="15" hidden="false" customHeight="false" outlineLevel="0" collapsed="false">
      <c r="A158" s="4" t="str">
        <f aca="false">IF(B158&lt;&gt;"",ROW()-3,"")</f>
        <v/>
      </c>
      <c r="B158" s="5"/>
      <c r="C158" s="4" t="str">
        <f aca="false">IF(B158&lt;&gt;"",TEXT(B158,"DDDD"),"")</f>
        <v/>
      </c>
      <c r="D158" s="4"/>
      <c r="E158" s="4"/>
      <c r="F158" s="4"/>
      <c r="G158" s="4"/>
      <c r="H158" s="4"/>
      <c r="I158" s="4"/>
      <c r="J158" s="4"/>
      <c r="K158" s="6" t="str">
        <f aca="false">IF(AND(B158&lt;&gt;"",I158&lt;&gt;"",F158&lt;&gt;""),IF(E158="Long",(I158-F158)*20,(F158-I158)*20),"")</f>
        <v/>
      </c>
      <c r="L158" s="7" t="str">
        <f aca="false">IF(AND(K158&lt;&gt;"",J158&lt;&gt;""),K158*J158,"")</f>
        <v/>
      </c>
      <c r="M158" s="8" t="str">
        <f aca="false">IF(AND(F158&lt;&gt;"",G158&lt;&gt;"",H158&lt;&gt;""),IF(E158="Long",(H158-F158)/(F158-G158),(F158-H158)/(G158-F158)),"")</f>
        <v/>
      </c>
      <c r="N158" s="8" t="str">
        <f aca="false">IF(AND(F158&lt;&gt;"",G158&lt;&gt;"",I158&lt;&gt;""),IF(E158="Long",(I158-F158)/(F158-G158),(F158-I158)/(G158-F158)),"")</f>
        <v/>
      </c>
      <c r="O158" s="4" t="str">
        <f aca="false">IF(L158="","",IF(L158&gt;0,"Win",IF(L158&lt;0,"Loss","Break Even")))</f>
        <v/>
      </c>
      <c r="P158" s="4"/>
      <c r="Q158" s="4"/>
      <c r="R158" s="4"/>
    </row>
    <row r="159" customFormat="false" ht="15" hidden="false" customHeight="false" outlineLevel="0" collapsed="false">
      <c r="A159" s="9" t="str">
        <f aca="false">IF(B159&lt;&gt;"",ROW()-3,"")</f>
        <v/>
      </c>
      <c r="B159" s="10"/>
      <c r="C159" s="9" t="str">
        <f aca="false">IF(B159&lt;&gt;"",TEXT(B159,"DDDD"),"")</f>
        <v/>
      </c>
      <c r="D159" s="9"/>
      <c r="E159" s="9"/>
      <c r="F159" s="9"/>
      <c r="G159" s="9"/>
      <c r="H159" s="9"/>
      <c r="I159" s="9"/>
      <c r="J159" s="9"/>
      <c r="K159" s="11" t="str">
        <f aca="false">IF(AND(B159&lt;&gt;"",I159&lt;&gt;"",F159&lt;&gt;""),IF(E159="Long",(I159-F159)*20,(F159-I159)*20),"")</f>
        <v/>
      </c>
      <c r="L159" s="12" t="str">
        <f aca="false">IF(AND(K159&lt;&gt;"",J159&lt;&gt;""),K159*J159,"")</f>
        <v/>
      </c>
      <c r="M159" s="13" t="str">
        <f aca="false">IF(AND(F159&lt;&gt;"",G159&lt;&gt;"",H159&lt;&gt;""),IF(E159="Long",(H159-F159)/(F159-G159),(F159-H159)/(G159-F159)),"")</f>
        <v/>
      </c>
      <c r="N159" s="13" t="str">
        <f aca="false">IF(AND(F159&lt;&gt;"",G159&lt;&gt;"",I159&lt;&gt;""),IF(E159="Long",(I159-F159)/(F159-G159),(F159-I159)/(G159-F159)),"")</f>
        <v/>
      </c>
      <c r="O159" s="9" t="str">
        <f aca="false">IF(L159="","",IF(L159&gt;0,"Win",IF(L159&lt;0,"Loss","Break Even")))</f>
        <v/>
      </c>
      <c r="P159" s="9"/>
      <c r="Q159" s="9"/>
      <c r="R159" s="9"/>
    </row>
    <row r="160" customFormat="false" ht="15" hidden="false" customHeight="false" outlineLevel="0" collapsed="false">
      <c r="A160" s="4" t="str">
        <f aca="false">IF(B160&lt;&gt;"",ROW()-3,"")</f>
        <v/>
      </c>
      <c r="B160" s="5"/>
      <c r="C160" s="4" t="str">
        <f aca="false">IF(B160&lt;&gt;"",TEXT(B160,"DDDD"),"")</f>
        <v/>
      </c>
      <c r="D160" s="4"/>
      <c r="E160" s="4"/>
      <c r="F160" s="4"/>
      <c r="G160" s="4"/>
      <c r="H160" s="4"/>
      <c r="I160" s="4"/>
      <c r="J160" s="4"/>
      <c r="K160" s="6" t="str">
        <f aca="false">IF(AND(B160&lt;&gt;"",I160&lt;&gt;"",F160&lt;&gt;""),IF(E160="Long",(I160-F160)*20,(F160-I160)*20),"")</f>
        <v/>
      </c>
      <c r="L160" s="7" t="str">
        <f aca="false">IF(AND(K160&lt;&gt;"",J160&lt;&gt;""),K160*J160,"")</f>
        <v/>
      </c>
      <c r="M160" s="8" t="str">
        <f aca="false">IF(AND(F160&lt;&gt;"",G160&lt;&gt;"",H160&lt;&gt;""),IF(E160="Long",(H160-F160)/(F160-G160),(F160-H160)/(G160-F160)),"")</f>
        <v/>
      </c>
      <c r="N160" s="8" t="str">
        <f aca="false">IF(AND(F160&lt;&gt;"",G160&lt;&gt;"",I160&lt;&gt;""),IF(E160="Long",(I160-F160)/(F160-G160),(F160-I160)/(G160-F160)),"")</f>
        <v/>
      </c>
      <c r="O160" s="4" t="str">
        <f aca="false">IF(L160="","",IF(L160&gt;0,"Win",IF(L160&lt;0,"Loss","Break Even")))</f>
        <v/>
      </c>
      <c r="P160" s="4"/>
      <c r="Q160" s="4"/>
      <c r="R160" s="4"/>
    </row>
    <row r="161" customFormat="false" ht="15" hidden="false" customHeight="false" outlineLevel="0" collapsed="false">
      <c r="A161" s="9" t="str">
        <f aca="false">IF(B161&lt;&gt;"",ROW()-3,"")</f>
        <v/>
      </c>
      <c r="B161" s="10"/>
      <c r="C161" s="9" t="str">
        <f aca="false">IF(B161&lt;&gt;"",TEXT(B161,"DDDD"),"")</f>
        <v/>
      </c>
      <c r="D161" s="9"/>
      <c r="E161" s="9"/>
      <c r="F161" s="9"/>
      <c r="G161" s="9"/>
      <c r="H161" s="9"/>
      <c r="I161" s="9"/>
      <c r="J161" s="9"/>
      <c r="K161" s="11" t="str">
        <f aca="false">IF(AND(B161&lt;&gt;"",I161&lt;&gt;"",F161&lt;&gt;""),IF(E161="Long",(I161-F161)*20,(F161-I161)*20),"")</f>
        <v/>
      </c>
      <c r="L161" s="12" t="str">
        <f aca="false">IF(AND(K161&lt;&gt;"",J161&lt;&gt;""),K161*J161,"")</f>
        <v/>
      </c>
      <c r="M161" s="13" t="str">
        <f aca="false">IF(AND(F161&lt;&gt;"",G161&lt;&gt;"",H161&lt;&gt;""),IF(E161="Long",(H161-F161)/(F161-G161),(F161-H161)/(G161-F161)),"")</f>
        <v/>
      </c>
      <c r="N161" s="13" t="str">
        <f aca="false">IF(AND(F161&lt;&gt;"",G161&lt;&gt;"",I161&lt;&gt;""),IF(E161="Long",(I161-F161)/(F161-G161),(F161-I161)/(G161-F161)),"")</f>
        <v/>
      </c>
      <c r="O161" s="9" t="str">
        <f aca="false">IF(L161="","",IF(L161&gt;0,"Win",IF(L161&lt;0,"Loss","Break Even")))</f>
        <v/>
      </c>
      <c r="P161" s="9"/>
      <c r="Q161" s="9"/>
      <c r="R161" s="9"/>
    </row>
    <row r="162" customFormat="false" ht="15" hidden="false" customHeight="false" outlineLevel="0" collapsed="false">
      <c r="A162" s="4" t="str">
        <f aca="false">IF(B162&lt;&gt;"",ROW()-3,"")</f>
        <v/>
      </c>
      <c r="B162" s="5"/>
      <c r="C162" s="4" t="str">
        <f aca="false">IF(B162&lt;&gt;"",TEXT(B162,"DDDD"),"")</f>
        <v/>
      </c>
      <c r="D162" s="4"/>
      <c r="E162" s="4"/>
      <c r="F162" s="4"/>
      <c r="G162" s="4"/>
      <c r="H162" s="4"/>
      <c r="I162" s="4"/>
      <c r="J162" s="4"/>
      <c r="K162" s="6" t="str">
        <f aca="false">IF(AND(B162&lt;&gt;"",I162&lt;&gt;"",F162&lt;&gt;""),IF(E162="Long",(I162-F162)*20,(F162-I162)*20),"")</f>
        <v/>
      </c>
      <c r="L162" s="7" t="str">
        <f aca="false">IF(AND(K162&lt;&gt;"",J162&lt;&gt;""),K162*J162,"")</f>
        <v/>
      </c>
      <c r="M162" s="8" t="str">
        <f aca="false">IF(AND(F162&lt;&gt;"",G162&lt;&gt;"",H162&lt;&gt;""),IF(E162="Long",(H162-F162)/(F162-G162),(F162-H162)/(G162-F162)),"")</f>
        <v/>
      </c>
      <c r="N162" s="8" t="str">
        <f aca="false">IF(AND(F162&lt;&gt;"",G162&lt;&gt;"",I162&lt;&gt;""),IF(E162="Long",(I162-F162)/(F162-G162),(F162-I162)/(G162-F162)),"")</f>
        <v/>
      </c>
      <c r="O162" s="4" t="str">
        <f aca="false">IF(L162="","",IF(L162&gt;0,"Win",IF(L162&lt;0,"Loss","Break Even")))</f>
        <v/>
      </c>
      <c r="P162" s="4"/>
      <c r="Q162" s="4"/>
      <c r="R162" s="4"/>
    </row>
    <row r="163" customFormat="false" ht="15" hidden="false" customHeight="false" outlineLevel="0" collapsed="false">
      <c r="A163" s="9" t="str">
        <f aca="false">IF(B163&lt;&gt;"",ROW()-3,"")</f>
        <v/>
      </c>
      <c r="B163" s="10"/>
      <c r="C163" s="9" t="str">
        <f aca="false">IF(B163&lt;&gt;"",TEXT(B163,"DDDD"),"")</f>
        <v/>
      </c>
      <c r="D163" s="9"/>
      <c r="E163" s="9"/>
      <c r="F163" s="9"/>
      <c r="G163" s="9"/>
      <c r="H163" s="9"/>
      <c r="I163" s="9"/>
      <c r="J163" s="9"/>
      <c r="K163" s="11" t="str">
        <f aca="false">IF(AND(B163&lt;&gt;"",I163&lt;&gt;"",F163&lt;&gt;""),IF(E163="Long",(I163-F163)*20,(F163-I163)*20),"")</f>
        <v/>
      </c>
      <c r="L163" s="12" t="str">
        <f aca="false">IF(AND(K163&lt;&gt;"",J163&lt;&gt;""),K163*J163,"")</f>
        <v/>
      </c>
      <c r="M163" s="13" t="str">
        <f aca="false">IF(AND(F163&lt;&gt;"",G163&lt;&gt;"",H163&lt;&gt;""),IF(E163="Long",(H163-F163)/(F163-G163),(F163-H163)/(G163-F163)),"")</f>
        <v/>
      </c>
      <c r="N163" s="13" t="str">
        <f aca="false">IF(AND(F163&lt;&gt;"",G163&lt;&gt;"",I163&lt;&gt;""),IF(E163="Long",(I163-F163)/(F163-G163),(F163-I163)/(G163-F163)),"")</f>
        <v/>
      </c>
      <c r="O163" s="9" t="str">
        <f aca="false">IF(L163="","",IF(L163&gt;0,"Win",IF(L163&lt;0,"Loss","Break Even")))</f>
        <v/>
      </c>
      <c r="P163" s="9"/>
      <c r="Q163" s="9"/>
      <c r="R163" s="9"/>
    </row>
    <row r="164" customFormat="false" ht="15" hidden="false" customHeight="false" outlineLevel="0" collapsed="false">
      <c r="A164" s="4" t="str">
        <f aca="false">IF(B164&lt;&gt;"",ROW()-3,"")</f>
        <v/>
      </c>
      <c r="B164" s="5"/>
      <c r="C164" s="4" t="str">
        <f aca="false">IF(B164&lt;&gt;"",TEXT(B164,"DDDD"),"")</f>
        <v/>
      </c>
      <c r="D164" s="4"/>
      <c r="E164" s="4"/>
      <c r="F164" s="4"/>
      <c r="G164" s="4"/>
      <c r="H164" s="4"/>
      <c r="I164" s="4"/>
      <c r="J164" s="4"/>
      <c r="K164" s="6" t="str">
        <f aca="false">IF(AND(B164&lt;&gt;"",I164&lt;&gt;"",F164&lt;&gt;""),IF(E164="Long",(I164-F164)*20,(F164-I164)*20),"")</f>
        <v/>
      </c>
      <c r="L164" s="7" t="str">
        <f aca="false">IF(AND(K164&lt;&gt;"",J164&lt;&gt;""),K164*J164,"")</f>
        <v/>
      </c>
      <c r="M164" s="8" t="str">
        <f aca="false">IF(AND(F164&lt;&gt;"",G164&lt;&gt;"",H164&lt;&gt;""),IF(E164="Long",(H164-F164)/(F164-G164),(F164-H164)/(G164-F164)),"")</f>
        <v/>
      </c>
      <c r="N164" s="8" t="str">
        <f aca="false">IF(AND(F164&lt;&gt;"",G164&lt;&gt;"",I164&lt;&gt;""),IF(E164="Long",(I164-F164)/(F164-G164),(F164-I164)/(G164-F164)),"")</f>
        <v/>
      </c>
      <c r="O164" s="4" t="str">
        <f aca="false">IF(L164="","",IF(L164&gt;0,"Win",IF(L164&lt;0,"Loss","Break Even")))</f>
        <v/>
      </c>
      <c r="P164" s="4"/>
      <c r="Q164" s="4"/>
      <c r="R164" s="4"/>
    </row>
    <row r="165" customFormat="false" ht="15" hidden="false" customHeight="false" outlineLevel="0" collapsed="false">
      <c r="A165" s="9" t="str">
        <f aca="false">IF(B165&lt;&gt;"",ROW()-3,"")</f>
        <v/>
      </c>
      <c r="B165" s="10"/>
      <c r="C165" s="9" t="str">
        <f aca="false">IF(B165&lt;&gt;"",TEXT(B165,"DDDD"),"")</f>
        <v/>
      </c>
      <c r="D165" s="9"/>
      <c r="E165" s="9"/>
      <c r="F165" s="9"/>
      <c r="G165" s="9"/>
      <c r="H165" s="9"/>
      <c r="I165" s="9"/>
      <c r="J165" s="9"/>
      <c r="K165" s="11" t="str">
        <f aca="false">IF(AND(B165&lt;&gt;"",I165&lt;&gt;"",F165&lt;&gt;""),IF(E165="Long",(I165-F165)*20,(F165-I165)*20),"")</f>
        <v/>
      </c>
      <c r="L165" s="12" t="str">
        <f aca="false">IF(AND(K165&lt;&gt;"",J165&lt;&gt;""),K165*J165,"")</f>
        <v/>
      </c>
      <c r="M165" s="13" t="str">
        <f aca="false">IF(AND(F165&lt;&gt;"",G165&lt;&gt;"",H165&lt;&gt;""),IF(E165="Long",(H165-F165)/(F165-G165),(F165-H165)/(G165-F165)),"")</f>
        <v/>
      </c>
      <c r="N165" s="13" t="str">
        <f aca="false">IF(AND(F165&lt;&gt;"",G165&lt;&gt;"",I165&lt;&gt;""),IF(E165="Long",(I165-F165)/(F165-G165),(F165-I165)/(G165-F165)),"")</f>
        <v/>
      </c>
      <c r="O165" s="9" t="str">
        <f aca="false">IF(L165="","",IF(L165&gt;0,"Win",IF(L165&lt;0,"Loss","Break Even")))</f>
        <v/>
      </c>
      <c r="P165" s="9"/>
      <c r="Q165" s="9"/>
      <c r="R165" s="9"/>
    </row>
    <row r="166" customFormat="false" ht="15" hidden="false" customHeight="false" outlineLevel="0" collapsed="false">
      <c r="A166" s="4" t="str">
        <f aca="false">IF(B166&lt;&gt;"",ROW()-3,"")</f>
        <v/>
      </c>
      <c r="B166" s="5"/>
      <c r="C166" s="4" t="str">
        <f aca="false">IF(B166&lt;&gt;"",TEXT(B166,"DDDD"),"")</f>
        <v/>
      </c>
      <c r="D166" s="4"/>
      <c r="E166" s="4"/>
      <c r="F166" s="4"/>
      <c r="G166" s="4"/>
      <c r="H166" s="4"/>
      <c r="I166" s="4"/>
      <c r="J166" s="4"/>
      <c r="K166" s="6" t="str">
        <f aca="false">IF(AND(B166&lt;&gt;"",I166&lt;&gt;"",F166&lt;&gt;""),IF(E166="Long",(I166-F166)*20,(F166-I166)*20),"")</f>
        <v/>
      </c>
      <c r="L166" s="7" t="str">
        <f aca="false">IF(AND(K166&lt;&gt;"",J166&lt;&gt;""),K166*J166,"")</f>
        <v/>
      </c>
      <c r="M166" s="8" t="str">
        <f aca="false">IF(AND(F166&lt;&gt;"",G166&lt;&gt;"",H166&lt;&gt;""),IF(E166="Long",(H166-F166)/(F166-G166),(F166-H166)/(G166-F166)),"")</f>
        <v/>
      </c>
      <c r="N166" s="8" t="str">
        <f aca="false">IF(AND(F166&lt;&gt;"",G166&lt;&gt;"",I166&lt;&gt;""),IF(E166="Long",(I166-F166)/(F166-G166),(F166-I166)/(G166-F166)),"")</f>
        <v/>
      </c>
      <c r="O166" s="4" t="str">
        <f aca="false">IF(L166="","",IF(L166&gt;0,"Win",IF(L166&lt;0,"Loss","Break Even")))</f>
        <v/>
      </c>
      <c r="P166" s="4"/>
      <c r="Q166" s="4"/>
      <c r="R166" s="4"/>
    </row>
    <row r="167" customFormat="false" ht="15" hidden="false" customHeight="false" outlineLevel="0" collapsed="false">
      <c r="A167" s="9" t="str">
        <f aca="false">IF(B167&lt;&gt;"",ROW()-3,"")</f>
        <v/>
      </c>
      <c r="B167" s="10"/>
      <c r="C167" s="9" t="str">
        <f aca="false">IF(B167&lt;&gt;"",TEXT(B167,"DDDD"),"")</f>
        <v/>
      </c>
      <c r="D167" s="9"/>
      <c r="E167" s="9"/>
      <c r="F167" s="9"/>
      <c r="G167" s="9"/>
      <c r="H167" s="9"/>
      <c r="I167" s="9"/>
      <c r="J167" s="9"/>
      <c r="K167" s="11" t="str">
        <f aca="false">IF(AND(B167&lt;&gt;"",I167&lt;&gt;"",F167&lt;&gt;""),IF(E167="Long",(I167-F167)*20,(F167-I167)*20),"")</f>
        <v/>
      </c>
      <c r="L167" s="12" t="str">
        <f aca="false">IF(AND(K167&lt;&gt;"",J167&lt;&gt;""),K167*J167,"")</f>
        <v/>
      </c>
      <c r="M167" s="13" t="str">
        <f aca="false">IF(AND(F167&lt;&gt;"",G167&lt;&gt;"",H167&lt;&gt;""),IF(E167="Long",(H167-F167)/(F167-G167),(F167-H167)/(G167-F167)),"")</f>
        <v/>
      </c>
      <c r="N167" s="13" t="str">
        <f aca="false">IF(AND(F167&lt;&gt;"",G167&lt;&gt;"",I167&lt;&gt;""),IF(E167="Long",(I167-F167)/(F167-G167),(F167-I167)/(G167-F167)),"")</f>
        <v/>
      </c>
      <c r="O167" s="9" t="str">
        <f aca="false">IF(L167="","",IF(L167&gt;0,"Win",IF(L167&lt;0,"Loss","Break Even")))</f>
        <v/>
      </c>
      <c r="P167" s="9"/>
      <c r="Q167" s="9"/>
      <c r="R167" s="9"/>
    </row>
    <row r="168" customFormat="false" ht="15" hidden="false" customHeight="false" outlineLevel="0" collapsed="false">
      <c r="A168" s="4" t="str">
        <f aca="false">IF(B168&lt;&gt;"",ROW()-3,"")</f>
        <v/>
      </c>
      <c r="B168" s="5"/>
      <c r="C168" s="4" t="str">
        <f aca="false">IF(B168&lt;&gt;"",TEXT(B168,"DDDD"),"")</f>
        <v/>
      </c>
      <c r="D168" s="4"/>
      <c r="E168" s="4"/>
      <c r="F168" s="4"/>
      <c r="G168" s="4"/>
      <c r="H168" s="4"/>
      <c r="I168" s="4"/>
      <c r="J168" s="4"/>
      <c r="K168" s="6" t="str">
        <f aca="false">IF(AND(B168&lt;&gt;"",I168&lt;&gt;"",F168&lt;&gt;""),IF(E168="Long",(I168-F168)*20,(F168-I168)*20),"")</f>
        <v/>
      </c>
      <c r="L168" s="7" t="str">
        <f aca="false">IF(AND(K168&lt;&gt;"",J168&lt;&gt;""),K168*J168,"")</f>
        <v/>
      </c>
      <c r="M168" s="8" t="str">
        <f aca="false">IF(AND(F168&lt;&gt;"",G168&lt;&gt;"",H168&lt;&gt;""),IF(E168="Long",(H168-F168)/(F168-G168),(F168-H168)/(G168-F168)),"")</f>
        <v/>
      </c>
      <c r="N168" s="8" t="str">
        <f aca="false">IF(AND(F168&lt;&gt;"",G168&lt;&gt;"",I168&lt;&gt;""),IF(E168="Long",(I168-F168)/(F168-G168),(F168-I168)/(G168-F168)),"")</f>
        <v/>
      </c>
      <c r="O168" s="4" t="str">
        <f aca="false">IF(L168="","",IF(L168&gt;0,"Win",IF(L168&lt;0,"Loss","Break Even")))</f>
        <v/>
      </c>
      <c r="P168" s="4"/>
      <c r="Q168" s="4"/>
      <c r="R168" s="4"/>
    </row>
    <row r="169" customFormat="false" ht="15" hidden="false" customHeight="false" outlineLevel="0" collapsed="false">
      <c r="A169" s="9" t="str">
        <f aca="false">IF(B169&lt;&gt;"",ROW()-3,"")</f>
        <v/>
      </c>
      <c r="B169" s="10"/>
      <c r="C169" s="9" t="str">
        <f aca="false">IF(B169&lt;&gt;"",TEXT(B169,"DDDD"),"")</f>
        <v/>
      </c>
      <c r="D169" s="9"/>
      <c r="E169" s="9"/>
      <c r="F169" s="9"/>
      <c r="G169" s="9"/>
      <c r="H169" s="9"/>
      <c r="I169" s="9"/>
      <c r="J169" s="9"/>
      <c r="K169" s="11" t="str">
        <f aca="false">IF(AND(B169&lt;&gt;"",I169&lt;&gt;"",F169&lt;&gt;""),IF(E169="Long",(I169-F169)*20,(F169-I169)*20),"")</f>
        <v/>
      </c>
      <c r="L169" s="12" t="str">
        <f aca="false">IF(AND(K169&lt;&gt;"",J169&lt;&gt;""),K169*J169,"")</f>
        <v/>
      </c>
      <c r="M169" s="13" t="str">
        <f aca="false">IF(AND(F169&lt;&gt;"",G169&lt;&gt;"",H169&lt;&gt;""),IF(E169="Long",(H169-F169)/(F169-G169),(F169-H169)/(G169-F169)),"")</f>
        <v/>
      </c>
      <c r="N169" s="13" t="str">
        <f aca="false">IF(AND(F169&lt;&gt;"",G169&lt;&gt;"",I169&lt;&gt;""),IF(E169="Long",(I169-F169)/(F169-G169),(F169-I169)/(G169-F169)),"")</f>
        <v/>
      </c>
      <c r="O169" s="9" t="str">
        <f aca="false">IF(L169="","",IF(L169&gt;0,"Win",IF(L169&lt;0,"Loss","Break Even")))</f>
        <v/>
      </c>
      <c r="P169" s="9"/>
      <c r="Q169" s="9"/>
      <c r="R169" s="9"/>
    </row>
    <row r="170" customFormat="false" ht="15" hidden="false" customHeight="false" outlineLevel="0" collapsed="false">
      <c r="A170" s="4" t="str">
        <f aca="false">IF(B170&lt;&gt;"",ROW()-3,"")</f>
        <v/>
      </c>
      <c r="B170" s="5"/>
      <c r="C170" s="4" t="str">
        <f aca="false">IF(B170&lt;&gt;"",TEXT(B170,"DDDD"),"")</f>
        <v/>
      </c>
      <c r="D170" s="4"/>
      <c r="E170" s="4"/>
      <c r="F170" s="4"/>
      <c r="G170" s="4"/>
      <c r="H170" s="4"/>
      <c r="I170" s="4"/>
      <c r="J170" s="4"/>
      <c r="K170" s="6" t="str">
        <f aca="false">IF(AND(B170&lt;&gt;"",I170&lt;&gt;"",F170&lt;&gt;""),IF(E170="Long",(I170-F170)*20,(F170-I170)*20),"")</f>
        <v/>
      </c>
      <c r="L170" s="7" t="str">
        <f aca="false">IF(AND(K170&lt;&gt;"",J170&lt;&gt;""),K170*J170,"")</f>
        <v/>
      </c>
      <c r="M170" s="8" t="str">
        <f aca="false">IF(AND(F170&lt;&gt;"",G170&lt;&gt;"",H170&lt;&gt;""),IF(E170="Long",(H170-F170)/(F170-G170),(F170-H170)/(G170-F170)),"")</f>
        <v/>
      </c>
      <c r="N170" s="8" t="str">
        <f aca="false">IF(AND(F170&lt;&gt;"",G170&lt;&gt;"",I170&lt;&gt;""),IF(E170="Long",(I170-F170)/(F170-G170),(F170-I170)/(G170-F170)),"")</f>
        <v/>
      </c>
      <c r="O170" s="4" t="str">
        <f aca="false">IF(L170="","",IF(L170&gt;0,"Win",IF(L170&lt;0,"Loss","Break Even")))</f>
        <v/>
      </c>
      <c r="P170" s="4"/>
      <c r="Q170" s="4"/>
      <c r="R170" s="4"/>
    </row>
    <row r="171" customFormat="false" ht="15" hidden="false" customHeight="false" outlineLevel="0" collapsed="false">
      <c r="A171" s="9" t="str">
        <f aca="false">IF(B171&lt;&gt;"",ROW()-3,"")</f>
        <v/>
      </c>
      <c r="B171" s="10"/>
      <c r="C171" s="9" t="str">
        <f aca="false">IF(B171&lt;&gt;"",TEXT(B171,"DDDD"),"")</f>
        <v/>
      </c>
      <c r="D171" s="9"/>
      <c r="E171" s="9"/>
      <c r="F171" s="9"/>
      <c r="G171" s="9"/>
      <c r="H171" s="9"/>
      <c r="I171" s="9"/>
      <c r="J171" s="9"/>
      <c r="K171" s="11" t="str">
        <f aca="false">IF(AND(B171&lt;&gt;"",I171&lt;&gt;"",F171&lt;&gt;""),IF(E171="Long",(I171-F171)*20,(F171-I171)*20),"")</f>
        <v/>
      </c>
      <c r="L171" s="12" t="str">
        <f aca="false">IF(AND(K171&lt;&gt;"",J171&lt;&gt;""),K171*J171,"")</f>
        <v/>
      </c>
      <c r="M171" s="13" t="str">
        <f aca="false">IF(AND(F171&lt;&gt;"",G171&lt;&gt;"",H171&lt;&gt;""),IF(E171="Long",(H171-F171)/(F171-G171),(F171-H171)/(G171-F171)),"")</f>
        <v/>
      </c>
      <c r="N171" s="13" t="str">
        <f aca="false">IF(AND(F171&lt;&gt;"",G171&lt;&gt;"",I171&lt;&gt;""),IF(E171="Long",(I171-F171)/(F171-G171),(F171-I171)/(G171-F171)),"")</f>
        <v/>
      </c>
      <c r="O171" s="9" t="str">
        <f aca="false">IF(L171="","",IF(L171&gt;0,"Win",IF(L171&lt;0,"Loss","Break Even")))</f>
        <v/>
      </c>
      <c r="P171" s="9"/>
      <c r="Q171" s="9"/>
      <c r="R171" s="9"/>
    </row>
    <row r="172" customFormat="false" ht="15" hidden="false" customHeight="false" outlineLevel="0" collapsed="false">
      <c r="A172" s="4" t="str">
        <f aca="false">IF(B172&lt;&gt;"",ROW()-3,"")</f>
        <v/>
      </c>
      <c r="B172" s="5"/>
      <c r="C172" s="4" t="str">
        <f aca="false">IF(B172&lt;&gt;"",TEXT(B172,"DDDD"),"")</f>
        <v/>
      </c>
      <c r="D172" s="4"/>
      <c r="E172" s="4"/>
      <c r="F172" s="4"/>
      <c r="G172" s="4"/>
      <c r="H172" s="4"/>
      <c r="I172" s="4"/>
      <c r="J172" s="4"/>
      <c r="K172" s="6" t="str">
        <f aca="false">IF(AND(B172&lt;&gt;"",I172&lt;&gt;"",F172&lt;&gt;""),IF(E172="Long",(I172-F172)*20,(F172-I172)*20),"")</f>
        <v/>
      </c>
      <c r="L172" s="7" t="str">
        <f aca="false">IF(AND(K172&lt;&gt;"",J172&lt;&gt;""),K172*J172,"")</f>
        <v/>
      </c>
      <c r="M172" s="8" t="str">
        <f aca="false">IF(AND(F172&lt;&gt;"",G172&lt;&gt;"",H172&lt;&gt;""),IF(E172="Long",(H172-F172)/(F172-G172),(F172-H172)/(G172-F172)),"")</f>
        <v/>
      </c>
      <c r="N172" s="8" t="str">
        <f aca="false">IF(AND(F172&lt;&gt;"",G172&lt;&gt;"",I172&lt;&gt;""),IF(E172="Long",(I172-F172)/(F172-G172),(F172-I172)/(G172-F172)),"")</f>
        <v/>
      </c>
      <c r="O172" s="4" t="str">
        <f aca="false">IF(L172="","",IF(L172&gt;0,"Win",IF(L172&lt;0,"Loss","Break Even")))</f>
        <v/>
      </c>
      <c r="P172" s="4"/>
      <c r="Q172" s="4"/>
      <c r="R172" s="4"/>
    </row>
    <row r="173" customFormat="false" ht="15" hidden="false" customHeight="false" outlineLevel="0" collapsed="false">
      <c r="A173" s="9" t="str">
        <f aca="false">IF(B173&lt;&gt;"",ROW()-3,"")</f>
        <v/>
      </c>
      <c r="B173" s="10"/>
      <c r="C173" s="9" t="str">
        <f aca="false">IF(B173&lt;&gt;"",TEXT(B173,"DDDD"),"")</f>
        <v/>
      </c>
      <c r="D173" s="9"/>
      <c r="E173" s="9"/>
      <c r="F173" s="9"/>
      <c r="G173" s="9"/>
      <c r="H173" s="9"/>
      <c r="I173" s="9"/>
      <c r="J173" s="9"/>
      <c r="K173" s="11" t="str">
        <f aca="false">IF(AND(B173&lt;&gt;"",I173&lt;&gt;"",F173&lt;&gt;""),IF(E173="Long",(I173-F173)*20,(F173-I173)*20),"")</f>
        <v/>
      </c>
      <c r="L173" s="12" t="str">
        <f aca="false">IF(AND(K173&lt;&gt;"",J173&lt;&gt;""),K173*J173,"")</f>
        <v/>
      </c>
      <c r="M173" s="13" t="str">
        <f aca="false">IF(AND(F173&lt;&gt;"",G173&lt;&gt;"",H173&lt;&gt;""),IF(E173="Long",(H173-F173)/(F173-G173),(F173-H173)/(G173-F173)),"")</f>
        <v/>
      </c>
      <c r="N173" s="13" t="str">
        <f aca="false">IF(AND(F173&lt;&gt;"",G173&lt;&gt;"",I173&lt;&gt;""),IF(E173="Long",(I173-F173)/(F173-G173),(F173-I173)/(G173-F173)),"")</f>
        <v/>
      </c>
      <c r="O173" s="9" t="str">
        <f aca="false">IF(L173="","",IF(L173&gt;0,"Win",IF(L173&lt;0,"Loss","Break Even")))</f>
        <v/>
      </c>
      <c r="P173" s="9"/>
      <c r="Q173" s="9"/>
      <c r="R173" s="9"/>
    </row>
    <row r="174" customFormat="false" ht="15" hidden="false" customHeight="false" outlineLevel="0" collapsed="false">
      <c r="A174" s="4" t="str">
        <f aca="false">IF(B174&lt;&gt;"",ROW()-3,"")</f>
        <v/>
      </c>
      <c r="B174" s="5"/>
      <c r="C174" s="4" t="str">
        <f aca="false">IF(B174&lt;&gt;"",TEXT(B174,"DDDD"),"")</f>
        <v/>
      </c>
      <c r="D174" s="4"/>
      <c r="E174" s="4"/>
      <c r="F174" s="4"/>
      <c r="G174" s="4"/>
      <c r="H174" s="4"/>
      <c r="I174" s="4"/>
      <c r="J174" s="4"/>
      <c r="K174" s="6" t="str">
        <f aca="false">IF(AND(B174&lt;&gt;"",I174&lt;&gt;"",F174&lt;&gt;""),IF(E174="Long",(I174-F174)*20,(F174-I174)*20),"")</f>
        <v/>
      </c>
      <c r="L174" s="7" t="str">
        <f aca="false">IF(AND(K174&lt;&gt;"",J174&lt;&gt;""),K174*J174,"")</f>
        <v/>
      </c>
      <c r="M174" s="8" t="str">
        <f aca="false">IF(AND(F174&lt;&gt;"",G174&lt;&gt;"",H174&lt;&gt;""),IF(E174="Long",(H174-F174)/(F174-G174),(F174-H174)/(G174-F174)),"")</f>
        <v/>
      </c>
      <c r="N174" s="8" t="str">
        <f aca="false">IF(AND(F174&lt;&gt;"",G174&lt;&gt;"",I174&lt;&gt;""),IF(E174="Long",(I174-F174)/(F174-G174),(F174-I174)/(G174-F174)),"")</f>
        <v/>
      </c>
      <c r="O174" s="4" t="str">
        <f aca="false">IF(L174="","",IF(L174&gt;0,"Win",IF(L174&lt;0,"Loss","Break Even")))</f>
        <v/>
      </c>
      <c r="P174" s="4"/>
      <c r="Q174" s="4"/>
      <c r="R174" s="4"/>
    </row>
    <row r="175" customFormat="false" ht="15" hidden="false" customHeight="false" outlineLevel="0" collapsed="false">
      <c r="A175" s="9" t="str">
        <f aca="false">IF(B175&lt;&gt;"",ROW()-3,"")</f>
        <v/>
      </c>
      <c r="B175" s="10"/>
      <c r="C175" s="9" t="str">
        <f aca="false">IF(B175&lt;&gt;"",TEXT(B175,"DDDD"),"")</f>
        <v/>
      </c>
      <c r="D175" s="9"/>
      <c r="E175" s="9"/>
      <c r="F175" s="9"/>
      <c r="G175" s="9"/>
      <c r="H175" s="9"/>
      <c r="I175" s="9"/>
      <c r="J175" s="9"/>
      <c r="K175" s="11" t="str">
        <f aca="false">IF(AND(B175&lt;&gt;"",I175&lt;&gt;"",F175&lt;&gt;""),IF(E175="Long",(I175-F175)*20,(F175-I175)*20),"")</f>
        <v/>
      </c>
      <c r="L175" s="12" t="str">
        <f aca="false">IF(AND(K175&lt;&gt;"",J175&lt;&gt;""),K175*J175,"")</f>
        <v/>
      </c>
      <c r="M175" s="13" t="str">
        <f aca="false">IF(AND(F175&lt;&gt;"",G175&lt;&gt;"",H175&lt;&gt;""),IF(E175="Long",(H175-F175)/(F175-G175),(F175-H175)/(G175-F175)),"")</f>
        <v/>
      </c>
      <c r="N175" s="13" t="str">
        <f aca="false">IF(AND(F175&lt;&gt;"",G175&lt;&gt;"",I175&lt;&gt;""),IF(E175="Long",(I175-F175)/(F175-G175),(F175-I175)/(G175-F175)),"")</f>
        <v/>
      </c>
      <c r="O175" s="9" t="str">
        <f aca="false">IF(L175="","",IF(L175&gt;0,"Win",IF(L175&lt;0,"Loss","Break Even")))</f>
        <v/>
      </c>
      <c r="P175" s="9"/>
      <c r="Q175" s="9"/>
      <c r="R175" s="9"/>
    </row>
    <row r="176" customFormat="false" ht="15" hidden="false" customHeight="false" outlineLevel="0" collapsed="false">
      <c r="A176" s="4" t="str">
        <f aca="false">IF(B176&lt;&gt;"",ROW()-3,"")</f>
        <v/>
      </c>
      <c r="B176" s="5"/>
      <c r="C176" s="4" t="str">
        <f aca="false">IF(B176&lt;&gt;"",TEXT(B176,"DDDD"),"")</f>
        <v/>
      </c>
      <c r="D176" s="4"/>
      <c r="E176" s="4"/>
      <c r="F176" s="4"/>
      <c r="G176" s="4"/>
      <c r="H176" s="4"/>
      <c r="I176" s="4"/>
      <c r="J176" s="4"/>
      <c r="K176" s="6" t="str">
        <f aca="false">IF(AND(B176&lt;&gt;"",I176&lt;&gt;"",F176&lt;&gt;""),IF(E176="Long",(I176-F176)*20,(F176-I176)*20),"")</f>
        <v/>
      </c>
      <c r="L176" s="7" t="str">
        <f aca="false">IF(AND(K176&lt;&gt;"",J176&lt;&gt;""),K176*J176,"")</f>
        <v/>
      </c>
      <c r="M176" s="8" t="str">
        <f aca="false">IF(AND(F176&lt;&gt;"",G176&lt;&gt;"",H176&lt;&gt;""),IF(E176="Long",(H176-F176)/(F176-G176),(F176-H176)/(G176-F176)),"")</f>
        <v/>
      </c>
      <c r="N176" s="8" t="str">
        <f aca="false">IF(AND(F176&lt;&gt;"",G176&lt;&gt;"",I176&lt;&gt;""),IF(E176="Long",(I176-F176)/(F176-G176),(F176-I176)/(G176-F176)),"")</f>
        <v/>
      </c>
      <c r="O176" s="4" t="str">
        <f aca="false">IF(L176="","",IF(L176&gt;0,"Win",IF(L176&lt;0,"Loss","Break Even")))</f>
        <v/>
      </c>
      <c r="P176" s="4"/>
      <c r="Q176" s="4"/>
      <c r="R176" s="4"/>
    </row>
    <row r="177" customFormat="false" ht="15" hidden="false" customHeight="false" outlineLevel="0" collapsed="false">
      <c r="A177" s="9" t="str">
        <f aca="false">IF(B177&lt;&gt;"",ROW()-3,"")</f>
        <v/>
      </c>
      <c r="B177" s="10"/>
      <c r="C177" s="9" t="str">
        <f aca="false">IF(B177&lt;&gt;"",TEXT(B177,"DDDD"),"")</f>
        <v/>
      </c>
      <c r="D177" s="9"/>
      <c r="E177" s="9"/>
      <c r="F177" s="9"/>
      <c r="G177" s="9"/>
      <c r="H177" s="9"/>
      <c r="I177" s="9"/>
      <c r="J177" s="9"/>
      <c r="K177" s="11" t="str">
        <f aca="false">IF(AND(B177&lt;&gt;"",I177&lt;&gt;"",F177&lt;&gt;""),IF(E177="Long",(I177-F177)*20,(F177-I177)*20),"")</f>
        <v/>
      </c>
      <c r="L177" s="12" t="str">
        <f aca="false">IF(AND(K177&lt;&gt;"",J177&lt;&gt;""),K177*J177,"")</f>
        <v/>
      </c>
      <c r="M177" s="13" t="str">
        <f aca="false">IF(AND(F177&lt;&gt;"",G177&lt;&gt;"",H177&lt;&gt;""),IF(E177="Long",(H177-F177)/(F177-G177),(F177-H177)/(G177-F177)),"")</f>
        <v/>
      </c>
      <c r="N177" s="13" t="str">
        <f aca="false">IF(AND(F177&lt;&gt;"",G177&lt;&gt;"",I177&lt;&gt;""),IF(E177="Long",(I177-F177)/(F177-G177),(F177-I177)/(G177-F177)),"")</f>
        <v/>
      </c>
      <c r="O177" s="9" t="str">
        <f aca="false">IF(L177="","",IF(L177&gt;0,"Win",IF(L177&lt;0,"Loss","Break Even")))</f>
        <v/>
      </c>
      <c r="P177" s="9"/>
      <c r="Q177" s="9"/>
      <c r="R177" s="9"/>
    </row>
    <row r="178" customFormat="false" ht="15" hidden="false" customHeight="false" outlineLevel="0" collapsed="false">
      <c r="A178" s="4" t="str">
        <f aca="false">IF(B178&lt;&gt;"",ROW()-3,"")</f>
        <v/>
      </c>
      <c r="B178" s="5"/>
      <c r="C178" s="4" t="str">
        <f aca="false">IF(B178&lt;&gt;"",TEXT(B178,"DDDD"),"")</f>
        <v/>
      </c>
      <c r="D178" s="4"/>
      <c r="E178" s="4"/>
      <c r="F178" s="4"/>
      <c r="G178" s="4"/>
      <c r="H178" s="4"/>
      <c r="I178" s="4"/>
      <c r="J178" s="4"/>
      <c r="K178" s="6" t="str">
        <f aca="false">IF(AND(B178&lt;&gt;"",I178&lt;&gt;"",F178&lt;&gt;""),IF(E178="Long",(I178-F178)*20,(F178-I178)*20),"")</f>
        <v/>
      </c>
      <c r="L178" s="7" t="str">
        <f aca="false">IF(AND(K178&lt;&gt;"",J178&lt;&gt;""),K178*J178,"")</f>
        <v/>
      </c>
      <c r="M178" s="8" t="str">
        <f aca="false">IF(AND(F178&lt;&gt;"",G178&lt;&gt;"",H178&lt;&gt;""),IF(E178="Long",(H178-F178)/(F178-G178),(F178-H178)/(G178-F178)),"")</f>
        <v/>
      </c>
      <c r="N178" s="8" t="str">
        <f aca="false">IF(AND(F178&lt;&gt;"",G178&lt;&gt;"",I178&lt;&gt;""),IF(E178="Long",(I178-F178)/(F178-G178),(F178-I178)/(G178-F178)),"")</f>
        <v/>
      </c>
      <c r="O178" s="4" t="str">
        <f aca="false">IF(L178="","",IF(L178&gt;0,"Win",IF(L178&lt;0,"Loss","Break Even")))</f>
        <v/>
      </c>
      <c r="P178" s="4"/>
      <c r="Q178" s="4"/>
      <c r="R178" s="4"/>
    </row>
    <row r="179" customFormat="false" ht="15" hidden="false" customHeight="false" outlineLevel="0" collapsed="false">
      <c r="A179" s="9" t="str">
        <f aca="false">IF(B179&lt;&gt;"",ROW()-3,"")</f>
        <v/>
      </c>
      <c r="B179" s="10"/>
      <c r="C179" s="9" t="str">
        <f aca="false">IF(B179&lt;&gt;"",TEXT(B179,"DDDD"),"")</f>
        <v/>
      </c>
      <c r="D179" s="9"/>
      <c r="E179" s="9"/>
      <c r="F179" s="9"/>
      <c r="G179" s="9"/>
      <c r="H179" s="9"/>
      <c r="I179" s="9"/>
      <c r="J179" s="9"/>
      <c r="K179" s="11" t="str">
        <f aca="false">IF(AND(B179&lt;&gt;"",I179&lt;&gt;"",F179&lt;&gt;""),IF(E179="Long",(I179-F179)*20,(F179-I179)*20),"")</f>
        <v/>
      </c>
      <c r="L179" s="12" t="str">
        <f aca="false">IF(AND(K179&lt;&gt;"",J179&lt;&gt;""),K179*J179,"")</f>
        <v/>
      </c>
      <c r="M179" s="13" t="str">
        <f aca="false">IF(AND(F179&lt;&gt;"",G179&lt;&gt;"",H179&lt;&gt;""),IF(E179="Long",(H179-F179)/(F179-G179),(F179-H179)/(G179-F179)),"")</f>
        <v/>
      </c>
      <c r="N179" s="13" t="str">
        <f aca="false">IF(AND(F179&lt;&gt;"",G179&lt;&gt;"",I179&lt;&gt;""),IF(E179="Long",(I179-F179)/(F179-G179),(F179-I179)/(G179-F179)),"")</f>
        <v/>
      </c>
      <c r="O179" s="9" t="str">
        <f aca="false">IF(L179="","",IF(L179&gt;0,"Win",IF(L179&lt;0,"Loss","Break Even")))</f>
        <v/>
      </c>
      <c r="P179" s="9"/>
      <c r="Q179" s="9"/>
      <c r="R179" s="9"/>
    </row>
    <row r="180" customFormat="false" ht="15" hidden="false" customHeight="false" outlineLevel="0" collapsed="false">
      <c r="A180" s="4" t="str">
        <f aca="false">IF(B180&lt;&gt;"",ROW()-3,"")</f>
        <v/>
      </c>
      <c r="B180" s="5"/>
      <c r="C180" s="4" t="str">
        <f aca="false">IF(B180&lt;&gt;"",TEXT(B180,"DDDD"),"")</f>
        <v/>
      </c>
      <c r="D180" s="4"/>
      <c r="E180" s="4"/>
      <c r="F180" s="4"/>
      <c r="G180" s="4"/>
      <c r="H180" s="4"/>
      <c r="I180" s="4"/>
      <c r="J180" s="4"/>
      <c r="K180" s="6" t="str">
        <f aca="false">IF(AND(B180&lt;&gt;"",I180&lt;&gt;"",F180&lt;&gt;""),IF(E180="Long",(I180-F180)*20,(F180-I180)*20),"")</f>
        <v/>
      </c>
      <c r="L180" s="7" t="str">
        <f aca="false">IF(AND(K180&lt;&gt;"",J180&lt;&gt;""),K180*J180,"")</f>
        <v/>
      </c>
      <c r="M180" s="8" t="str">
        <f aca="false">IF(AND(F180&lt;&gt;"",G180&lt;&gt;"",H180&lt;&gt;""),IF(E180="Long",(H180-F180)/(F180-G180),(F180-H180)/(G180-F180)),"")</f>
        <v/>
      </c>
      <c r="N180" s="8" t="str">
        <f aca="false">IF(AND(F180&lt;&gt;"",G180&lt;&gt;"",I180&lt;&gt;""),IF(E180="Long",(I180-F180)/(F180-G180),(F180-I180)/(G180-F180)),"")</f>
        <v/>
      </c>
      <c r="O180" s="4" t="str">
        <f aca="false">IF(L180="","",IF(L180&gt;0,"Win",IF(L180&lt;0,"Loss","Break Even")))</f>
        <v/>
      </c>
      <c r="P180" s="4"/>
      <c r="Q180" s="4"/>
      <c r="R180" s="4"/>
    </row>
    <row r="181" customFormat="false" ht="15" hidden="false" customHeight="false" outlineLevel="0" collapsed="false">
      <c r="A181" s="9" t="str">
        <f aca="false">IF(B181&lt;&gt;"",ROW()-3,"")</f>
        <v/>
      </c>
      <c r="B181" s="10"/>
      <c r="C181" s="9" t="str">
        <f aca="false">IF(B181&lt;&gt;"",TEXT(B181,"DDDD"),"")</f>
        <v/>
      </c>
      <c r="D181" s="9"/>
      <c r="E181" s="9"/>
      <c r="F181" s="9"/>
      <c r="G181" s="9"/>
      <c r="H181" s="9"/>
      <c r="I181" s="9"/>
      <c r="J181" s="9"/>
      <c r="K181" s="11" t="str">
        <f aca="false">IF(AND(B181&lt;&gt;"",I181&lt;&gt;"",F181&lt;&gt;""),IF(E181="Long",(I181-F181)*20,(F181-I181)*20),"")</f>
        <v/>
      </c>
      <c r="L181" s="12" t="str">
        <f aca="false">IF(AND(K181&lt;&gt;"",J181&lt;&gt;""),K181*J181,"")</f>
        <v/>
      </c>
      <c r="M181" s="13" t="str">
        <f aca="false">IF(AND(F181&lt;&gt;"",G181&lt;&gt;"",H181&lt;&gt;""),IF(E181="Long",(H181-F181)/(F181-G181),(F181-H181)/(G181-F181)),"")</f>
        <v/>
      </c>
      <c r="N181" s="13" t="str">
        <f aca="false">IF(AND(F181&lt;&gt;"",G181&lt;&gt;"",I181&lt;&gt;""),IF(E181="Long",(I181-F181)/(F181-G181),(F181-I181)/(G181-F181)),"")</f>
        <v/>
      </c>
      <c r="O181" s="9" t="str">
        <f aca="false">IF(L181="","",IF(L181&gt;0,"Win",IF(L181&lt;0,"Loss","Break Even")))</f>
        <v/>
      </c>
      <c r="P181" s="9"/>
      <c r="Q181" s="9"/>
      <c r="R181" s="9"/>
    </row>
    <row r="182" customFormat="false" ht="15" hidden="false" customHeight="false" outlineLevel="0" collapsed="false">
      <c r="A182" s="4" t="str">
        <f aca="false">IF(B182&lt;&gt;"",ROW()-3,"")</f>
        <v/>
      </c>
      <c r="B182" s="5"/>
      <c r="C182" s="4" t="str">
        <f aca="false">IF(B182&lt;&gt;"",TEXT(B182,"DDDD"),"")</f>
        <v/>
      </c>
      <c r="D182" s="4"/>
      <c r="E182" s="4"/>
      <c r="F182" s="4"/>
      <c r="G182" s="4"/>
      <c r="H182" s="4"/>
      <c r="I182" s="4"/>
      <c r="J182" s="4"/>
      <c r="K182" s="6" t="str">
        <f aca="false">IF(AND(B182&lt;&gt;"",I182&lt;&gt;"",F182&lt;&gt;""),IF(E182="Long",(I182-F182)*20,(F182-I182)*20),"")</f>
        <v/>
      </c>
      <c r="L182" s="7" t="str">
        <f aca="false">IF(AND(K182&lt;&gt;"",J182&lt;&gt;""),K182*J182,"")</f>
        <v/>
      </c>
      <c r="M182" s="8" t="str">
        <f aca="false">IF(AND(F182&lt;&gt;"",G182&lt;&gt;"",H182&lt;&gt;""),IF(E182="Long",(H182-F182)/(F182-G182),(F182-H182)/(G182-F182)),"")</f>
        <v/>
      </c>
      <c r="N182" s="8" t="str">
        <f aca="false">IF(AND(F182&lt;&gt;"",G182&lt;&gt;"",I182&lt;&gt;""),IF(E182="Long",(I182-F182)/(F182-G182),(F182-I182)/(G182-F182)),"")</f>
        <v/>
      </c>
      <c r="O182" s="4" t="str">
        <f aca="false">IF(L182="","",IF(L182&gt;0,"Win",IF(L182&lt;0,"Loss","Break Even")))</f>
        <v/>
      </c>
      <c r="P182" s="4"/>
      <c r="Q182" s="4"/>
      <c r="R182" s="4"/>
    </row>
    <row r="183" customFormat="false" ht="15" hidden="false" customHeight="false" outlineLevel="0" collapsed="false">
      <c r="A183" s="9" t="str">
        <f aca="false">IF(B183&lt;&gt;"",ROW()-3,"")</f>
        <v/>
      </c>
      <c r="B183" s="10"/>
      <c r="C183" s="9" t="str">
        <f aca="false">IF(B183&lt;&gt;"",TEXT(B183,"DDDD"),"")</f>
        <v/>
      </c>
      <c r="D183" s="9"/>
      <c r="E183" s="9"/>
      <c r="F183" s="9"/>
      <c r="G183" s="9"/>
      <c r="H183" s="9"/>
      <c r="I183" s="9"/>
      <c r="J183" s="9"/>
      <c r="K183" s="11" t="str">
        <f aca="false">IF(AND(B183&lt;&gt;"",I183&lt;&gt;"",F183&lt;&gt;""),IF(E183="Long",(I183-F183)*20,(F183-I183)*20),"")</f>
        <v/>
      </c>
      <c r="L183" s="12" t="str">
        <f aca="false">IF(AND(K183&lt;&gt;"",J183&lt;&gt;""),K183*J183,"")</f>
        <v/>
      </c>
      <c r="M183" s="13" t="str">
        <f aca="false">IF(AND(F183&lt;&gt;"",G183&lt;&gt;"",H183&lt;&gt;""),IF(E183="Long",(H183-F183)/(F183-G183),(F183-H183)/(G183-F183)),"")</f>
        <v/>
      </c>
      <c r="N183" s="13" t="str">
        <f aca="false">IF(AND(F183&lt;&gt;"",G183&lt;&gt;"",I183&lt;&gt;""),IF(E183="Long",(I183-F183)/(F183-G183),(F183-I183)/(G183-F183)),"")</f>
        <v/>
      </c>
      <c r="O183" s="9" t="str">
        <f aca="false">IF(L183="","",IF(L183&gt;0,"Win",IF(L183&lt;0,"Loss","Break Even")))</f>
        <v/>
      </c>
      <c r="P183" s="9"/>
      <c r="Q183" s="9"/>
      <c r="R183" s="9"/>
    </row>
    <row r="184" customFormat="false" ht="15" hidden="false" customHeight="false" outlineLevel="0" collapsed="false">
      <c r="A184" s="4" t="str">
        <f aca="false">IF(B184&lt;&gt;"",ROW()-3,"")</f>
        <v/>
      </c>
      <c r="B184" s="5"/>
      <c r="C184" s="4" t="str">
        <f aca="false">IF(B184&lt;&gt;"",TEXT(B184,"DDDD"),"")</f>
        <v/>
      </c>
      <c r="D184" s="4"/>
      <c r="E184" s="4"/>
      <c r="F184" s="4"/>
      <c r="G184" s="4"/>
      <c r="H184" s="4"/>
      <c r="I184" s="4"/>
      <c r="J184" s="4"/>
      <c r="K184" s="6" t="str">
        <f aca="false">IF(AND(B184&lt;&gt;"",I184&lt;&gt;"",F184&lt;&gt;""),IF(E184="Long",(I184-F184)*20,(F184-I184)*20),"")</f>
        <v/>
      </c>
      <c r="L184" s="7" t="str">
        <f aca="false">IF(AND(K184&lt;&gt;"",J184&lt;&gt;""),K184*J184,"")</f>
        <v/>
      </c>
      <c r="M184" s="8" t="str">
        <f aca="false">IF(AND(F184&lt;&gt;"",G184&lt;&gt;"",H184&lt;&gt;""),IF(E184="Long",(H184-F184)/(F184-G184),(F184-H184)/(G184-F184)),"")</f>
        <v/>
      </c>
      <c r="N184" s="8" t="str">
        <f aca="false">IF(AND(F184&lt;&gt;"",G184&lt;&gt;"",I184&lt;&gt;""),IF(E184="Long",(I184-F184)/(F184-G184),(F184-I184)/(G184-F184)),"")</f>
        <v/>
      </c>
      <c r="O184" s="4" t="str">
        <f aca="false">IF(L184="","",IF(L184&gt;0,"Win",IF(L184&lt;0,"Loss","Break Even")))</f>
        <v/>
      </c>
      <c r="P184" s="4"/>
      <c r="Q184" s="4"/>
      <c r="R184" s="4"/>
    </row>
    <row r="185" customFormat="false" ht="15" hidden="false" customHeight="false" outlineLevel="0" collapsed="false">
      <c r="A185" s="9" t="str">
        <f aca="false">IF(B185&lt;&gt;"",ROW()-3,"")</f>
        <v/>
      </c>
      <c r="B185" s="10"/>
      <c r="C185" s="9" t="str">
        <f aca="false">IF(B185&lt;&gt;"",TEXT(B185,"DDDD"),"")</f>
        <v/>
      </c>
      <c r="D185" s="9"/>
      <c r="E185" s="9"/>
      <c r="F185" s="9"/>
      <c r="G185" s="9"/>
      <c r="H185" s="9"/>
      <c r="I185" s="9"/>
      <c r="J185" s="9"/>
      <c r="K185" s="11" t="str">
        <f aca="false">IF(AND(B185&lt;&gt;"",I185&lt;&gt;"",F185&lt;&gt;""),IF(E185="Long",(I185-F185)*20,(F185-I185)*20),"")</f>
        <v/>
      </c>
      <c r="L185" s="12" t="str">
        <f aca="false">IF(AND(K185&lt;&gt;"",J185&lt;&gt;""),K185*J185,"")</f>
        <v/>
      </c>
      <c r="M185" s="13" t="str">
        <f aca="false">IF(AND(F185&lt;&gt;"",G185&lt;&gt;"",H185&lt;&gt;""),IF(E185="Long",(H185-F185)/(F185-G185),(F185-H185)/(G185-F185)),"")</f>
        <v/>
      </c>
      <c r="N185" s="13" t="str">
        <f aca="false">IF(AND(F185&lt;&gt;"",G185&lt;&gt;"",I185&lt;&gt;""),IF(E185="Long",(I185-F185)/(F185-G185),(F185-I185)/(G185-F185)),"")</f>
        <v/>
      </c>
      <c r="O185" s="9" t="str">
        <f aca="false">IF(L185="","",IF(L185&gt;0,"Win",IF(L185&lt;0,"Loss","Break Even")))</f>
        <v/>
      </c>
      <c r="P185" s="9"/>
      <c r="Q185" s="9"/>
      <c r="R185" s="9"/>
    </row>
    <row r="186" customFormat="false" ht="15" hidden="false" customHeight="false" outlineLevel="0" collapsed="false">
      <c r="A186" s="4" t="str">
        <f aca="false">IF(B186&lt;&gt;"",ROW()-3,"")</f>
        <v/>
      </c>
      <c r="B186" s="5"/>
      <c r="C186" s="4" t="str">
        <f aca="false">IF(B186&lt;&gt;"",TEXT(B186,"DDDD"),"")</f>
        <v/>
      </c>
      <c r="D186" s="4"/>
      <c r="E186" s="4"/>
      <c r="F186" s="4"/>
      <c r="G186" s="4"/>
      <c r="H186" s="4"/>
      <c r="I186" s="4"/>
      <c r="J186" s="4"/>
      <c r="K186" s="6" t="str">
        <f aca="false">IF(AND(B186&lt;&gt;"",I186&lt;&gt;"",F186&lt;&gt;""),IF(E186="Long",(I186-F186)*20,(F186-I186)*20),"")</f>
        <v/>
      </c>
      <c r="L186" s="7" t="str">
        <f aca="false">IF(AND(K186&lt;&gt;"",J186&lt;&gt;""),K186*J186,"")</f>
        <v/>
      </c>
      <c r="M186" s="8" t="str">
        <f aca="false">IF(AND(F186&lt;&gt;"",G186&lt;&gt;"",H186&lt;&gt;""),IF(E186="Long",(H186-F186)/(F186-G186),(F186-H186)/(G186-F186)),"")</f>
        <v/>
      </c>
      <c r="N186" s="8" t="str">
        <f aca="false">IF(AND(F186&lt;&gt;"",G186&lt;&gt;"",I186&lt;&gt;""),IF(E186="Long",(I186-F186)/(F186-G186),(F186-I186)/(G186-F186)),"")</f>
        <v/>
      </c>
      <c r="O186" s="4" t="str">
        <f aca="false">IF(L186="","",IF(L186&gt;0,"Win",IF(L186&lt;0,"Loss","Break Even")))</f>
        <v/>
      </c>
      <c r="P186" s="4"/>
      <c r="Q186" s="4"/>
      <c r="R186" s="4"/>
    </row>
    <row r="187" customFormat="false" ht="15" hidden="false" customHeight="false" outlineLevel="0" collapsed="false">
      <c r="A187" s="9" t="str">
        <f aca="false">IF(B187&lt;&gt;"",ROW()-3,"")</f>
        <v/>
      </c>
      <c r="B187" s="10"/>
      <c r="C187" s="9" t="str">
        <f aca="false">IF(B187&lt;&gt;"",TEXT(B187,"DDDD"),"")</f>
        <v/>
      </c>
      <c r="D187" s="9"/>
      <c r="E187" s="9"/>
      <c r="F187" s="9"/>
      <c r="G187" s="9"/>
      <c r="H187" s="9"/>
      <c r="I187" s="9"/>
      <c r="J187" s="9"/>
      <c r="K187" s="11" t="str">
        <f aca="false">IF(AND(B187&lt;&gt;"",I187&lt;&gt;"",F187&lt;&gt;""),IF(E187="Long",(I187-F187)*20,(F187-I187)*20),"")</f>
        <v/>
      </c>
      <c r="L187" s="12" t="str">
        <f aca="false">IF(AND(K187&lt;&gt;"",J187&lt;&gt;""),K187*J187,"")</f>
        <v/>
      </c>
      <c r="M187" s="13" t="str">
        <f aca="false">IF(AND(F187&lt;&gt;"",G187&lt;&gt;"",H187&lt;&gt;""),IF(E187="Long",(H187-F187)/(F187-G187),(F187-H187)/(G187-F187)),"")</f>
        <v/>
      </c>
      <c r="N187" s="13" t="str">
        <f aca="false">IF(AND(F187&lt;&gt;"",G187&lt;&gt;"",I187&lt;&gt;""),IF(E187="Long",(I187-F187)/(F187-G187),(F187-I187)/(G187-F187)),"")</f>
        <v/>
      </c>
      <c r="O187" s="9" t="str">
        <f aca="false">IF(L187="","",IF(L187&gt;0,"Win",IF(L187&lt;0,"Loss","Break Even")))</f>
        <v/>
      </c>
      <c r="P187" s="9"/>
      <c r="Q187" s="9"/>
      <c r="R187" s="9"/>
    </row>
    <row r="188" customFormat="false" ht="15" hidden="false" customHeight="false" outlineLevel="0" collapsed="false">
      <c r="A188" s="4" t="str">
        <f aca="false">IF(B188&lt;&gt;"",ROW()-3,"")</f>
        <v/>
      </c>
      <c r="B188" s="5"/>
      <c r="C188" s="4" t="str">
        <f aca="false">IF(B188&lt;&gt;"",TEXT(B188,"DDDD"),"")</f>
        <v/>
      </c>
      <c r="D188" s="4"/>
      <c r="E188" s="4"/>
      <c r="F188" s="4"/>
      <c r="G188" s="4"/>
      <c r="H188" s="4"/>
      <c r="I188" s="4"/>
      <c r="J188" s="4"/>
      <c r="K188" s="6" t="str">
        <f aca="false">IF(AND(B188&lt;&gt;"",I188&lt;&gt;"",F188&lt;&gt;""),IF(E188="Long",(I188-F188)*20,(F188-I188)*20),"")</f>
        <v/>
      </c>
      <c r="L188" s="7" t="str">
        <f aca="false">IF(AND(K188&lt;&gt;"",J188&lt;&gt;""),K188*J188,"")</f>
        <v/>
      </c>
      <c r="M188" s="8" t="str">
        <f aca="false">IF(AND(F188&lt;&gt;"",G188&lt;&gt;"",H188&lt;&gt;""),IF(E188="Long",(H188-F188)/(F188-G188),(F188-H188)/(G188-F188)),"")</f>
        <v/>
      </c>
      <c r="N188" s="8" t="str">
        <f aca="false">IF(AND(F188&lt;&gt;"",G188&lt;&gt;"",I188&lt;&gt;""),IF(E188="Long",(I188-F188)/(F188-G188),(F188-I188)/(G188-F188)),"")</f>
        <v/>
      </c>
      <c r="O188" s="4" t="str">
        <f aca="false">IF(L188="","",IF(L188&gt;0,"Win",IF(L188&lt;0,"Loss","Break Even")))</f>
        <v/>
      </c>
      <c r="P188" s="4"/>
      <c r="Q188" s="4"/>
      <c r="R188" s="4"/>
    </row>
    <row r="189" customFormat="false" ht="15" hidden="false" customHeight="false" outlineLevel="0" collapsed="false">
      <c r="A189" s="9" t="str">
        <f aca="false">IF(B189&lt;&gt;"",ROW()-3,"")</f>
        <v/>
      </c>
      <c r="B189" s="10"/>
      <c r="C189" s="9" t="str">
        <f aca="false">IF(B189&lt;&gt;"",TEXT(B189,"DDDD"),"")</f>
        <v/>
      </c>
      <c r="D189" s="9"/>
      <c r="E189" s="9"/>
      <c r="F189" s="9"/>
      <c r="G189" s="9"/>
      <c r="H189" s="9"/>
      <c r="I189" s="9"/>
      <c r="J189" s="9"/>
      <c r="K189" s="11" t="str">
        <f aca="false">IF(AND(B189&lt;&gt;"",I189&lt;&gt;"",F189&lt;&gt;""),IF(E189="Long",(I189-F189)*20,(F189-I189)*20),"")</f>
        <v/>
      </c>
      <c r="L189" s="12" t="str">
        <f aca="false">IF(AND(K189&lt;&gt;"",J189&lt;&gt;""),K189*J189,"")</f>
        <v/>
      </c>
      <c r="M189" s="13" t="str">
        <f aca="false">IF(AND(F189&lt;&gt;"",G189&lt;&gt;"",H189&lt;&gt;""),IF(E189="Long",(H189-F189)/(F189-G189),(F189-H189)/(G189-F189)),"")</f>
        <v/>
      </c>
      <c r="N189" s="13" t="str">
        <f aca="false">IF(AND(F189&lt;&gt;"",G189&lt;&gt;"",I189&lt;&gt;""),IF(E189="Long",(I189-F189)/(F189-G189),(F189-I189)/(G189-F189)),"")</f>
        <v/>
      </c>
      <c r="O189" s="9" t="str">
        <f aca="false">IF(L189="","",IF(L189&gt;0,"Win",IF(L189&lt;0,"Loss","Break Even")))</f>
        <v/>
      </c>
      <c r="P189" s="9"/>
      <c r="Q189" s="9"/>
      <c r="R189" s="9"/>
    </row>
    <row r="190" customFormat="false" ht="15" hidden="false" customHeight="false" outlineLevel="0" collapsed="false">
      <c r="A190" s="4" t="str">
        <f aca="false">IF(B190&lt;&gt;"",ROW()-3,"")</f>
        <v/>
      </c>
      <c r="B190" s="5"/>
      <c r="C190" s="4" t="str">
        <f aca="false">IF(B190&lt;&gt;"",TEXT(B190,"DDDD"),"")</f>
        <v/>
      </c>
      <c r="D190" s="4"/>
      <c r="E190" s="4"/>
      <c r="F190" s="4"/>
      <c r="G190" s="4"/>
      <c r="H190" s="4"/>
      <c r="I190" s="4"/>
      <c r="J190" s="4"/>
      <c r="K190" s="6" t="str">
        <f aca="false">IF(AND(B190&lt;&gt;"",I190&lt;&gt;"",F190&lt;&gt;""),IF(E190="Long",(I190-F190)*20,(F190-I190)*20),"")</f>
        <v/>
      </c>
      <c r="L190" s="7" t="str">
        <f aca="false">IF(AND(K190&lt;&gt;"",J190&lt;&gt;""),K190*J190,"")</f>
        <v/>
      </c>
      <c r="M190" s="8" t="str">
        <f aca="false">IF(AND(F190&lt;&gt;"",G190&lt;&gt;"",H190&lt;&gt;""),IF(E190="Long",(H190-F190)/(F190-G190),(F190-H190)/(G190-F190)),"")</f>
        <v/>
      </c>
      <c r="N190" s="8" t="str">
        <f aca="false">IF(AND(F190&lt;&gt;"",G190&lt;&gt;"",I190&lt;&gt;""),IF(E190="Long",(I190-F190)/(F190-G190),(F190-I190)/(G190-F190)),"")</f>
        <v/>
      </c>
      <c r="O190" s="4" t="str">
        <f aca="false">IF(L190="","",IF(L190&gt;0,"Win",IF(L190&lt;0,"Loss","Break Even")))</f>
        <v/>
      </c>
      <c r="P190" s="4"/>
      <c r="Q190" s="4"/>
      <c r="R190" s="4"/>
    </row>
    <row r="191" customFormat="false" ht="15" hidden="false" customHeight="false" outlineLevel="0" collapsed="false">
      <c r="A191" s="9" t="str">
        <f aca="false">IF(B191&lt;&gt;"",ROW()-3,"")</f>
        <v/>
      </c>
      <c r="B191" s="10"/>
      <c r="C191" s="9" t="str">
        <f aca="false">IF(B191&lt;&gt;"",TEXT(B191,"DDDD"),"")</f>
        <v/>
      </c>
      <c r="D191" s="9"/>
      <c r="E191" s="9"/>
      <c r="F191" s="9"/>
      <c r="G191" s="9"/>
      <c r="H191" s="9"/>
      <c r="I191" s="9"/>
      <c r="J191" s="9"/>
      <c r="K191" s="11" t="str">
        <f aca="false">IF(AND(B191&lt;&gt;"",I191&lt;&gt;"",F191&lt;&gt;""),IF(E191="Long",(I191-F191)*20,(F191-I191)*20),"")</f>
        <v/>
      </c>
      <c r="L191" s="12" t="str">
        <f aca="false">IF(AND(K191&lt;&gt;"",J191&lt;&gt;""),K191*J191,"")</f>
        <v/>
      </c>
      <c r="M191" s="13" t="str">
        <f aca="false">IF(AND(F191&lt;&gt;"",G191&lt;&gt;"",H191&lt;&gt;""),IF(E191="Long",(H191-F191)/(F191-G191),(F191-H191)/(G191-F191)),"")</f>
        <v/>
      </c>
      <c r="N191" s="13" t="str">
        <f aca="false">IF(AND(F191&lt;&gt;"",G191&lt;&gt;"",I191&lt;&gt;""),IF(E191="Long",(I191-F191)/(F191-G191),(F191-I191)/(G191-F191)),"")</f>
        <v/>
      </c>
      <c r="O191" s="9" t="str">
        <f aca="false">IF(L191="","",IF(L191&gt;0,"Win",IF(L191&lt;0,"Loss","Break Even")))</f>
        <v/>
      </c>
      <c r="P191" s="9"/>
      <c r="Q191" s="9"/>
      <c r="R191" s="9"/>
    </row>
    <row r="192" customFormat="false" ht="15" hidden="false" customHeight="false" outlineLevel="0" collapsed="false">
      <c r="A192" s="4" t="str">
        <f aca="false">IF(B192&lt;&gt;"",ROW()-3,"")</f>
        <v/>
      </c>
      <c r="B192" s="5"/>
      <c r="C192" s="4" t="str">
        <f aca="false">IF(B192&lt;&gt;"",TEXT(B192,"DDDD"),"")</f>
        <v/>
      </c>
      <c r="D192" s="4"/>
      <c r="E192" s="4"/>
      <c r="F192" s="4"/>
      <c r="G192" s="4"/>
      <c r="H192" s="4"/>
      <c r="I192" s="4"/>
      <c r="J192" s="4"/>
      <c r="K192" s="6" t="str">
        <f aca="false">IF(AND(B192&lt;&gt;"",I192&lt;&gt;"",F192&lt;&gt;""),IF(E192="Long",(I192-F192)*20,(F192-I192)*20),"")</f>
        <v/>
      </c>
      <c r="L192" s="7" t="str">
        <f aca="false">IF(AND(K192&lt;&gt;"",J192&lt;&gt;""),K192*J192,"")</f>
        <v/>
      </c>
      <c r="M192" s="8" t="str">
        <f aca="false">IF(AND(F192&lt;&gt;"",G192&lt;&gt;"",H192&lt;&gt;""),IF(E192="Long",(H192-F192)/(F192-G192),(F192-H192)/(G192-F192)),"")</f>
        <v/>
      </c>
      <c r="N192" s="8" t="str">
        <f aca="false">IF(AND(F192&lt;&gt;"",G192&lt;&gt;"",I192&lt;&gt;""),IF(E192="Long",(I192-F192)/(F192-G192),(F192-I192)/(G192-F192)),"")</f>
        <v/>
      </c>
      <c r="O192" s="4" t="str">
        <f aca="false">IF(L192="","",IF(L192&gt;0,"Win",IF(L192&lt;0,"Loss","Break Even")))</f>
        <v/>
      </c>
      <c r="P192" s="4"/>
      <c r="Q192" s="4"/>
      <c r="R192" s="4"/>
    </row>
    <row r="193" customFormat="false" ht="15" hidden="false" customHeight="false" outlineLevel="0" collapsed="false">
      <c r="A193" s="9" t="str">
        <f aca="false">IF(B193&lt;&gt;"",ROW()-3,"")</f>
        <v/>
      </c>
      <c r="B193" s="10"/>
      <c r="C193" s="9" t="str">
        <f aca="false">IF(B193&lt;&gt;"",TEXT(B193,"DDDD"),"")</f>
        <v/>
      </c>
      <c r="D193" s="9"/>
      <c r="E193" s="9"/>
      <c r="F193" s="9"/>
      <c r="G193" s="9"/>
      <c r="H193" s="9"/>
      <c r="I193" s="9"/>
      <c r="J193" s="9"/>
      <c r="K193" s="11" t="str">
        <f aca="false">IF(AND(B193&lt;&gt;"",I193&lt;&gt;"",F193&lt;&gt;""),IF(E193="Long",(I193-F193)*20,(F193-I193)*20),"")</f>
        <v/>
      </c>
      <c r="L193" s="12" t="str">
        <f aca="false">IF(AND(K193&lt;&gt;"",J193&lt;&gt;""),K193*J193,"")</f>
        <v/>
      </c>
      <c r="M193" s="13" t="str">
        <f aca="false">IF(AND(F193&lt;&gt;"",G193&lt;&gt;"",H193&lt;&gt;""),IF(E193="Long",(H193-F193)/(F193-G193),(F193-H193)/(G193-F193)),"")</f>
        <v/>
      </c>
      <c r="N193" s="13" t="str">
        <f aca="false">IF(AND(F193&lt;&gt;"",G193&lt;&gt;"",I193&lt;&gt;""),IF(E193="Long",(I193-F193)/(F193-G193),(F193-I193)/(G193-F193)),"")</f>
        <v/>
      </c>
      <c r="O193" s="9" t="str">
        <f aca="false">IF(L193="","",IF(L193&gt;0,"Win",IF(L193&lt;0,"Loss","Break Even")))</f>
        <v/>
      </c>
      <c r="P193" s="9"/>
      <c r="Q193" s="9"/>
      <c r="R193" s="9"/>
    </row>
    <row r="194" customFormat="false" ht="15" hidden="false" customHeight="false" outlineLevel="0" collapsed="false">
      <c r="A194" s="4" t="str">
        <f aca="false">IF(B194&lt;&gt;"",ROW()-3,"")</f>
        <v/>
      </c>
      <c r="B194" s="5"/>
      <c r="C194" s="4" t="str">
        <f aca="false">IF(B194&lt;&gt;"",TEXT(B194,"DDDD"),"")</f>
        <v/>
      </c>
      <c r="D194" s="4"/>
      <c r="E194" s="4"/>
      <c r="F194" s="4"/>
      <c r="G194" s="4"/>
      <c r="H194" s="4"/>
      <c r="I194" s="4"/>
      <c r="J194" s="4"/>
      <c r="K194" s="6" t="str">
        <f aca="false">IF(AND(B194&lt;&gt;"",I194&lt;&gt;"",F194&lt;&gt;""),IF(E194="Long",(I194-F194)*20,(F194-I194)*20),"")</f>
        <v/>
      </c>
      <c r="L194" s="7" t="str">
        <f aca="false">IF(AND(K194&lt;&gt;"",J194&lt;&gt;""),K194*J194,"")</f>
        <v/>
      </c>
      <c r="M194" s="8" t="str">
        <f aca="false">IF(AND(F194&lt;&gt;"",G194&lt;&gt;"",H194&lt;&gt;""),IF(E194="Long",(H194-F194)/(F194-G194),(F194-H194)/(G194-F194)),"")</f>
        <v/>
      </c>
      <c r="N194" s="8" t="str">
        <f aca="false">IF(AND(F194&lt;&gt;"",G194&lt;&gt;"",I194&lt;&gt;""),IF(E194="Long",(I194-F194)/(F194-G194),(F194-I194)/(G194-F194)),"")</f>
        <v/>
      </c>
      <c r="O194" s="4" t="str">
        <f aca="false">IF(L194="","",IF(L194&gt;0,"Win",IF(L194&lt;0,"Loss","Break Even")))</f>
        <v/>
      </c>
      <c r="P194" s="4"/>
      <c r="Q194" s="4"/>
      <c r="R194" s="4"/>
    </row>
    <row r="195" customFormat="false" ht="15" hidden="false" customHeight="false" outlineLevel="0" collapsed="false">
      <c r="A195" s="9" t="str">
        <f aca="false">IF(B195&lt;&gt;"",ROW()-3,"")</f>
        <v/>
      </c>
      <c r="B195" s="10"/>
      <c r="C195" s="9" t="str">
        <f aca="false">IF(B195&lt;&gt;"",TEXT(B195,"DDDD"),"")</f>
        <v/>
      </c>
      <c r="D195" s="9"/>
      <c r="E195" s="9"/>
      <c r="F195" s="9"/>
      <c r="G195" s="9"/>
      <c r="H195" s="9"/>
      <c r="I195" s="9"/>
      <c r="J195" s="9"/>
      <c r="K195" s="11" t="str">
        <f aca="false">IF(AND(B195&lt;&gt;"",I195&lt;&gt;"",F195&lt;&gt;""),IF(E195="Long",(I195-F195)*20,(F195-I195)*20),"")</f>
        <v/>
      </c>
      <c r="L195" s="12" t="str">
        <f aca="false">IF(AND(K195&lt;&gt;"",J195&lt;&gt;""),K195*J195,"")</f>
        <v/>
      </c>
      <c r="M195" s="13" t="str">
        <f aca="false">IF(AND(F195&lt;&gt;"",G195&lt;&gt;"",H195&lt;&gt;""),IF(E195="Long",(H195-F195)/(F195-G195),(F195-H195)/(G195-F195)),"")</f>
        <v/>
      </c>
      <c r="N195" s="13" t="str">
        <f aca="false">IF(AND(F195&lt;&gt;"",G195&lt;&gt;"",I195&lt;&gt;""),IF(E195="Long",(I195-F195)/(F195-G195),(F195-I195)/(G195-F195)),"")</f>
        <v/>
      </c>
      <c r="O195" s="9" t="str">
        <f aca="false">IF(L195="","",IF(L195&gt;0,"Win",IF(L195&lt;0,"Loss","Break Even")))</f>
        <v/>
      </c>
      <c r="P195" s="9"/>
      <c r="Q195" s="9"/>
      <c r="R195" s="9"/>
    </row>
    <row r="196" customFormat="false" ht="15" hidden="false" customHeight="false" outlineLevel="0" collapsed="false">
      <c r="A196" s="4" t="str">
        <f aca="false">IF(B196&lt;&gt;"",ROW()-3,"")</f>
        <v/>
      </c>
      <c r="B196" s="5"/>
      <c r="C196" s="4" t="str">
        <f aca="false">IF(B196&lt;&gt;"",TEXT(B196,"DDDD"),"")</f>
        <v/>
      </c>
      <c r="D196" s="4"/>
      <c r="E196" s="4"/>
      <c r="F196" s="4"/>
      <c r="G196" s="4"/>
      <c r="H196" s="4"/>
      <c r="I196" s="4"/>
      <c r="J196" s="4"/>
      <c r="K196" s="6" t="str">
        <f aca="false">IF(AND(B196&lt;&gt;"",I196&lt;&gt;"",F196&lt;&gt;""),IF(E196="Long",(I196-F196)*20,(F196-I196)*20),"")</f>
        <v/>
      </c>
      <c r="L196" s="7" t="str">
        <f aca="false">IF(AND(K196&lt;&gt;"",J196&lt;&gt;""),K196*J196,"")</f>
        <v/>
      </c>
      <c r="M196" s="8" t="str">
        <f aca="false">IF(AND(F196&lt;&gt;"",G196&lt;&gt;"",H196&lt;&gt;""),IF(E196="Long",(H196-F196)/(F196-G196),(F196-H196)/(G196-F196)),"")</f>
        <v/>
      </c>
      <c r="N196" s="8" t="str">
        <f aca="false">IF(AND(F196&lt;&gt;"",G196&lt;&gt;"",I196&lt;&gt;""),IF(E196="Long",(I196-F196)/(F196-G196),(F196-I196)/(G196-F196)),"")</f>
        <v/>
      </c>
      <c r="O196" s="4" t="str">
        <f aca="false">IF(L196="","",IF(L196&gt;0,"Win",IF(L196&lt;0,"Loss","Break Even")))</f>
        <v/>
      </c>
      <c r="P196" s="4"/>
      <c r="Q196" s="4"/>
      <c r="R196" s="4"/>
    </row>
    <row r="197" customFormat="false" ht="15" hidden="false" customHeight="false" outlineLevel="0" collapsed="false">
      <c r="A197" s="9" t="str">
        <f aca="false">IF(B197&lt;&gt;"",ROW()-3,"")</f>
        <v/>
      </c>
      <c r="B197" s="10"/>
      <c r="C197" s="9" t="str">
        <f aca="false">IF(B197&lt;&gt;"",TEXT(B197,"DDDD"),"")</f>
        <v/>
      </c>
      <c r="D197" s="9"/>
      <c r="E197" s="9"/>
      <c r="F197" s="9"/>
      <c r="G197" s="9"/>
      <c r="H197" s="9"/>
      <c r="I197" s="9"/>
      <c r="J197" s="9"/>
      <c r="K197" s="11" t="str">
        <f aca="false">IF(AND(B197&lt;&gt;"",I197&lt;&gt;"",F197&lt;&gt;""),IF(E197="Long",(I197-F197)*20,(F197-I197)*20),"")</f>
        <v/>
      </c>
      <c r="L197" s="12" t="str">
        <f aca="false">IF(AND(K197&lt;&gt;"",J197&lt;&gt;""),K197*J197,"")</f>
        <v/>
      </c>
      <c r="M197" s="13" t="str">
        <f aca="false">IF(AND(F197&lt;&gt;"",G197&lt;&gt;"",H197&lt;&gt;""),IF(E197="Long",(H197-F197)/(F197-G197),(F197-H197)/(G197-F197)),"")</f>
        <v/>
      </c>
      <c r="N197" s="13" t="str">
        <f aca="false">IF(AND(F197&lt;&gt;"",G197&lt;&gt;"",I197&lt;&gt;""),IF(E197="Long",(I197-F197)/(F197-G197),(F197-I197)/(G197-F197)),"")</f>
        <v/>
      </c>
      <c r="O197" s="9" t="str">
        <f aca="false">IF(L197="","",IF(L197&gt;0,"Win",IF(L197&lt;0,"Loss","Break Even")))</f>
        <v/>
      </c>
      <c r="P197" s="9"/>
      <c r="Q197" s="9"/>
      <c r="R197" s="9"/>
    </row>
    <row r="198" customFormat="false" ht="15" hidden="false" customHeight="false" outlineLevel="0" collapsed="false">
      <c r="A198" s="4" t="str">
        <f aca="false">IF(B198&lt;&gt;"",ROW()-3,"")</f>
        <v/>
      </c>
      <c r="B198" s="5"/>
      <c r="C198" s="4" t="str">
        <f aca="false">IF(B198&lt;&gt;"",TEXT(B198,"DDDD"),"")</f>
        <v/>
      </c>
      <c r="D198" s="4"/>
      <c r="E198" s="4"/>
      <c r="F198" s="4"/>
      <c r="G198" s="4"/>
      <c r="H198" s="4"/>
      <c r="I198" s="4"/>
      <c r="J198" s="4"/>
      <c r="K198" s="6" t="str">
        <f aca="false">IF(AND(B198&lt;&gt;"",I198&lt;&gt;"",F198&lt;&gt;""),IF(E198="Long",(I198-F198)*20,(F198-I198)*20),"")</f>
        <v/>
      </c>
      <c r="L198" s="7" t="str">
        <f aca="false">IF(AND(K198&lt;&gt;"",J198&lt;&gt;""),K198*J198,"")</f>
        <v/>
      </c>
      <c r="M198" s="8" t="str">
        <f aca="false">IF(AND(F198&lt;&gt;"",G198&lt;&gt;"",H198&lt;&gt;""),IF(E198="Long",(H198-F198)/(F198-G198),(F198-H198)/(G198-F198)),"")</f>
        <v/>
      </c>
      <c r="N198" s="8" t="str">
        <f aca="false">IF(AND(F198&lt;&gt;"",G198&lt;&gt;"",I198&lt;&gt;""),IF(E198="Long",(I198-F198)/(F198-G198),(F198-I198)/(G198-F198)),"")</f>
        <v/>
      </c>
      <c r="O198" s="4" t="str">
        <f aca="false">IF(L198="","",IF(L198&gt;0,"Win",IF(L198&lt;0,"Loss","Break Even")))</f>
        <v/>
      </c>
      <c r="P198" s="4"/>
      <c r="Q198" s="4"/>
      <c r="R198" s="4"/>
    </row>
    <row r="199" customFormat="false" ht="15" hidden="false" customHeight="false" outlineLevel="0" collapsed="false">
      <c r="A199" s="9" t="str">
        <f aca="false">IF(B199&lt;&gt;"",ROW()-3,"")</f>
        <v/>
      </c>
      <c r="B199" s="10"/>
      <c r="C199" s="9" t="str">
        <f aca="false">IF(B199&lt;&gt;"",TEXT(B199,"DDDD"),"")</f>
        <v/>
      </c>
      <c r="D199" s="9"/>
      <c r="E199" s="9"/>
      <c r="F199" s="9"/>
      <c r="G199" s="9"/>
      <c r="H199" s="9"/>
      <c r="I199" s="9"/>
      <c r="J199" s="9"/>
      <c r="K199" s="11" t="str">
        <f aca="false">IF(AND(B199&lt;&gt;"",I199&lt;&gt;"",F199&lt;&gt;""),IF(E199="Long",(I199-F199)*20,(F199-I199)*20),"")</f>
        <v/>
      </c>
      <c r="L199" s="12" t="str">
        <f aca="false">IF(AND(K199&lt;&gt;"",J199&lt;&gt;""),K199*J199,"")</f>
        <v/>
      </c>
      <c r="M199" s="13" t="str">
        <f aca="false">IF(AND(F199&lt;&gt;"",G199&lt;&gt;"",H199&lt;&gt;""),IF(E199="Long",(H199-F199)/(F199-G199),(F199-H199)/(G199-F199)),"")</f>
        <v/>
      </c>
      <c r="N199" s="13" t="str">
        <f aca="false">IF(AND(F199&lt;&gt;"",G199&lt;&gt;"",I199&lt;&gt;""),IF(E199="Long",(I199-F199)/(F199-G199),(F199-I199)/(G199-F199)),"")</f>
        <v/>
      </c>
      <c r="O199" s="9" t="str">
        <f aca="false">IF(L199="","",IF(L199&gt;0,"Win",IF(L199&lt;0,"Loss","Break Even")))</f>
        <v/>
      </c>
      <c r="P199" s="9"/>
      <c r="Q199" s="9"/>
      <c r="R199" s="9"/>
    </row>
    <row r="200" customFormat="false" ht="15" hidden="false" customHeight="false" outlineLevel="0" collapsed="false">
      <c r="A200" s="4" t="str">
        <f aca="false">IF(B200&lt;&gt;"",ROW()-3,"")</f>
        <v/>
      </c>
      <c r="B200" s="5"/>
      <c r="C200" s="4" t="str">
        <f aca="false">IF(B200&lt;&gt;"",TEXT(B200,"DDDD"),"")</f>
        <v/>
      </c>
      <c r="D200" s="4"/>
      <c r="E200" s="4"/>
      <c r="F200" s="4"/>
      <c r="G200" s="4"/>
      <c r="H200" s="4"/>
      <c r="I200" s="4"/>
      <c r="J200" s="4"/>
      <c r="K200" s="6" t="str">
        <f aca="false">IF(AND(B200&lt;&gt;"",I200&lt;&gt;"",F200&lt;&gt;""),IF(E200="Long",(I200-F200)*20,(F200-I200)*20),"")</f>
        <v/>
      </c>
      <c r="L200" s="7" t="str">
        <f aca="false">IF(AND(K200&lt;&gt;"",J200&lt;&gt;""),K200*J200,"")</f>
        <v/>
      </c>
      <c r="M200" s="8" t="str">
        <f aca="false">IF(AND(F200&lt;&gt;"",G200&lt;&gt;"",H200&lt;&gt;""),IF(E200="Long",(H200-F200)/(F200-G200),(F200-H200)/(G200-F200)),"")</f>
        <v/>
      </c>
      <c r="N200" s="8" t="str">
        <f aca="false">IF(AND(F200&lt;&gt;"",G200&lt;&gt;"",I200&lt;&gt;""),IF(E200="Long",(I200-F200)/(F200-G200),(F200-I200)/(G200-F200)),"")</f>
        <v/>
      </c>
      <c r="O200" s="4" t="str">
        <f aca="false">IF(L200="","",IF(L200&gt;0,"Win",IF(L200&lt;0,"Loss","Break Even")))</f>
        <v/>
      </c>
      <c r="P200" s="4"/>
      <c r="Q200" s="4"/>
      <c r="R200" s="4"/>
    </row>
    <row r="201" customFormat="false" ht="15" hidden="false" customHeight="false" outlineLevel="0" collapsed="false">
      <c r="A201" s="9" t="str">
        <f aca="false">IF(B201&lt;&gt;"",ROW()-3,"")</f>
        <v/>
      </c>
      <c r="B201" s="10"/>
      <c r="C201" s="9" t="str">
        <f aca="false">IF(B201&lt;&gt;"",TEXT(B201,"DDDD"),"")</f>
        <v/>
      </c>
      <c r="D201" s="9"/>
      <c r="E201" s="9"/>
      <c r="F201" s="9"/>
      <c r="G201" s="9"/>
      <c r="H201" s="9"/>
      <c r="I201" s="9"/>
      <c r="J201" s="9"/>
      <c r="K201" s="11" t="str">
        <f aca="false">IF(AND(B201&lt;&gt;"",I201&lt;&gt;"",F201&lt;&gt;""),IF(E201="Long",(I201-F201)*20,(F201-I201)*20),"")</f>
        <v/>
      </c>
      <c r="L201" s="12" t="str">
        <f aca="false">IF(AND(K201&lt;&gt;"",J201&lt;&gt;""),K201*J201,"")</f>
        <v/>
      </c>
      <c r="M201" s="13" t="str">
        <f aca="false">IF(AND(F201&lt;&gt;"",G201&lt;&gt;"",H201&lt;&gt;""),IF(E201="Long",(H201-F201)/(F201-G201),(F201-H201)/(G201-F201)),"")</f>
        <v/>
      </c>
      <c r="N201" s="13" t="str">
        <f aca="false">IF(AND(F201&lt;&gt;"",G201&lt;&gt;"",I201&lt;&gt;""),IF(E201="Long",(I201-F201)/(F201-G201),(F201-I201)/(G201-F201)),"")</f>
        <v/>
      </c>
      <c r="O201" s="9" t="str">
        <f aca="false">IF(L201="","",IF(L201&gt;0,"Win",IF(L201&lt;0,"Loss","Break Even")))</f>
        <v/>
      </c>
      <c r="P201" s="9"/>
      <c r="Q201" s="9"/>
      <c r="R201" s="9"/>
    </row>
    <row r="202" customFormat="false" ht="15" hidden="false" customHeight="false" outlineLevel="0" collapsed="false">
      <c r="A202" s="4" t="str">
        <f aca="false">IF(B202&lt;&gt;"",ROW()-3,"")</f>
        <v/>
      </c>
      <c r="B202" s="5"/>
      <c r="C202" s="4" t="str">
        <f aca="false">IF(B202&lt;&gt;"",TEXT(B202,"DDDD"),"")</f>
        <v/>
      </c>
      <c r="D202" s="4"/>
      <c r="E202" s="4"/>
      <c r="F202" s="4"/>
      <c r="G202" s="4"/>
      <c r="H202" s="4"/>
      <c r="I202" s="4"/>
      <c r="J202" s="4"/>
      <c r="K202" s="6" t="str">
        <f aca="false">IF(AND(B202&lt;&gt;"",I202&lt;&gt;"",F202&lt;&gt;""),IF(E202="Long",(I202-F202)*20,(F202-I202)*20),"")</f>
        <v/>
      </c>
      <c r="L202" s="7" t="str">
        <f aca="false">IF(AND(K202&lt;&gt;"",J202&lt;&gt;""),K202*J202,"")</f>
        <v/>
      </c>
      <c r="M202" s="8" t="str">
        <f aca="false">IF(AND(F202&lt;&gt;"",G202&lt;&gt;"",H202&lt;&gt;""),IF(E202="Long",(H202-F202)/(F202-G202),(F202-H202)/(G202-F202)),"")</f>
        <v/>
      </c>
      <c r="N202" s="8" t="str">
        <f aca="false">IF(AND(F202&lt;&gt;"",G202&lt;&gt;"",I202&lt;&gt;""),IF(E202="Long",(I202-F202)/(F202-G202),(F202-I202)/(G202-F202)),"")</f>
        <v/>
      </c>
      <c r="O202" s="4" t="str">
        <f aca="false">IF(L202="","",IF(L202&gt;0,"Win",IF(L202&lt;0,"Loss","Break Even")))</f>
        <v/>
      </c>
      <c r="P202" s="4"/>
      <c r="Q202" s="4"/>
      <c r="R202" s="4"/>
    </row>
    <row r="203" customFormat="false" ht="15" hidden="false" customHeight="false" outlineLevel="0" collapsed="false">
      <c r="A203" s="9" t="str">
        <f aca="false">IF(B203&lt;&gt;"",ROW()-3,"")</f>
        <v/>
      </c>
      <c r="B203" s="10"/>
      <c r="C203" s="9" t="str">
        <f aca="false">IF(B203&lt;&gt;"",TEXT(B203,"DDDD"),"")</f>
        <v/>
      </c>
      <c r="D203" s="9"/>
      <c r="E203" s="9"/>
      <c r="F203" s="9"/>
      <c r="G203" s="9"/>
      <c r="H203" s="9"/>
      <c r="I203" s="9"/>
      <c r="J203" s="9"/>
      <c r="K203" s="11" t="str">
        <f aca="false">IF(AND(B203&lt;&gt;"",I203&lt;&gt;"",F203&lt;&gt;""),IF(E203="Long",(I203-F203)*20,(F203-I203)*20),"")</f>
        <v/>
      </c>
      <c r="L203" s="12" t="str">
        <f aca="false">IF(AND(K203&lt;&gt;"",J203&lt;&gt;""),K203*J203,"")</f>
        <v/>
      </c>
      <c r="M203" s="13" t="str">
        <f aca="false">IF(AND(F203&lt;&gt;"",G203&lt;&gt;"",H203&lt;&gt;""),IF(E203="Long",(H203-F203)/(F203-G203),(F203-H203)/(G203-F203)),"")</f>
        <v/>
      </c>
      <c r="N203" s="13" t="str">
        <f aca="false">IF(AND(F203&lt;&gt;"",G203&lt;&gt;"",I203&lt;&gt;""),IF(E203="Long",(I203-F203)/(F203-G203),(F203-I203)/(G203-F203)),"")</f>
        <v/>
      </c>
      <c r="O203" s="9" t="str">
        <f aca="false">IF(L203="","",IF(L203&gt;0,"Win",IF(L203&lt;0,"Loss","Break Even")))</f>
        <v/>
      </c>
      <c r="P203" s="9"/>
      <c r="Q203" s="9"/>
      <c r="R203" s="9"/>
    </row>
    <row r="204" customFormat="false" ht="15" hidden="false" customHeight="false" outlineLevel="0" collapsed="false">
      <c r="A204" s="4" t="str">
        <f aca="false">IF(B204&lt;&gt;"",ROW()-3,"")</f>
        <v/>
      </c>
      <c r="B204" s="5"/>
      <c r="C204" s="4" t="str">
        <f aca="false">IF(B204&lt;&gt;"",TEXT(B204,"DDDD"),"")</f>
        <v/>
      </c>
      <c r="D204" s="4"/>
      <c r="E204" s="4"/>
      <c r="F204" s="4"/>
      <c r="G204" s="4"/>
      <c r="H204" s="4"/>
      <c r="I204" s="4"/>
      <c r="J204" s="4"/>
      <c r="K204" s="6" t="str">
        <f aca="false">IF(AND(B204&lt;&gt;"",I204&lt;&gt;"",F204&lt;&gt;""),IF(E204="Long",(I204-F204)*20,(F204-I204)*20),"")</f>
        <v/>
      </c>
      <c r="L204" s="7" t="str">
        <f aca="false">IF(AND(K204&lt;&gt;"",J204&lt;&gt;""),K204*J204,"")</f>
        <v/>
      </c>
      <c r="M204" s="8" t="str">
        <f aca="false">IF(AND(F204&lt;&gt;"",G204&lt;&gt;"",H204&lt;&gt;""),IF(E204="Long",(H204-F204)/(F204-G204),(F204-H204)/(G204-F204)),"")</f>
        <v/>
      </c>
      <c r="N204" s="8" t="str">
        <f aca="false">IF(AND(F204&lt;&gt;"",G204&lt;&gt;"",I204&lt;&gt;""),IF(E204="Long",(I204-F204)/(F204-G204),(F204-I204)/(G204-F204)),"")</f>
        <v/>
      </c>
      <c r="O204" s="4" t="str">
        <f aca="false">IF(L204="","",IF(L204&gt;0,"Win",IF(L204&lt;0,"Loss","Break Even")))</f>
        <v/>
      </c>
      <c r="P204" s="4"/>
      <c r="Q204" s="4"/>
      <c r="R204" s="4"/>
    </row>
    <row r="205" customFormat="false" ht="15" hidden="false" customHeight="false" outlineLevel="0" collapsed="false">
      <c r="A205" s="9" t="str">
        <f aca="false">IF(B205&lt;&gt;"",ROW()-3,"")</f>
        <v/>
      </c>
      <c r="B205" s="10"/>
      <c r="C205" s="9" t="str">
        <f aca="false">IF(B205&lt;&gt;"",TEXT(B205,"DDDD"),"")</f>
        <v/>
      </c>
      <c r="D205" s="9"/>
      <c r="E205" s="9"/>
      <c r="F205" s="9"/>
      <c r="G205" s="9"/>
      <c r="H205" s="9"/>
      <c r="I205" s="9"/>
      <c r="J205" s="9"/>
      <c r="K205" s="11" t="str">
        <f aca="false">IF(AND(B205&lt;&gt;"",I205&lt;&gt;"",F205&lt;&gt;""),IF(E205="Long",(I205-F205)*20,(F205-I205)*20),"")</f>
        <v/>
      </c>
      <c r="L205" s="12" t="str">
        <f aca="false">IF(AND(K205&lt;&gt;"",J205&lt;&gt;""),K205*J205,"")</f>
        <v/>
      </c>
      <c r="M205" s="13" t="str">
        <f aca="false">IF(AND(F205&lt;&gt;"",G205&lt;&gt;"",H205&lt;&gt;""),IF(E205="Long",(H205-F205)/(F205-G205),(F205-H205)/(G205-F205)),"")</f>
        <v/>
      </c>
      <c r="N205" s="13" t="str">
        <f aca="false">IF(AND(F205&lt;&gt;"",G205&lt;&gt;"",I205&lt;&gt;""),IF(E205="Long",(I205-F205)/(F205-G205),(F205-I205)/(G205-F205)),"")</f>
        <v/>
      </c>
      <c r="O205" s="9" t="str">
        <f aca="false">IF(L205="","",IF(L205&gt;0,"Win",IF(L205&lt;0,"Loss","Break Even")))</f>
        <v/>
      </c>
      <c r="P205" s="9"/>
      <c r="Q205" s="9"/>
      <c r="R205" s="9"/>
    </row>
    <row r="206" customFormat="false" ht="15" hidden="false" customHeight="false" outlineLevel="0" collapsed="false">
      <c r="A206" s="4" t="str">
        <f aca="false">IF(B206&lt;&gt;"",ROW()-3,"")</f>
        <v/>
      </c>
      <c r="B206" s="5"/>
      <c r="C206" s="4" t="str">
        <f aca="false">IF(B206&lt;&gt;"",TEXT(B206,"DDDD"),"")</f>
        <v/>
      </c>
      <c r="D206" s="4"/>
      <c r="E206" s="4"/>
      <c r="F206" s="4"/>
      <c r="G206" s="4"/>
      <c r="H206" s="4"/>
      <c r="I206" s="4"/>
      <c r="J206" s="4"/>
      <c r="K206" s="6" t="str">
        <f aca="false">IF(AND(B206&lt;&gt;"",I206&lt;&gt;"",F206&lt;&gt;""),IF(E206="Long",(I206-F206)*20,(F206-I206)*20),"")</f>
        <v/>
      </c>
      <c r="L206" s="7" t="str">
        <f aca="false">IF(AND(K206&lt;&gt;"",J206&lt;&gt;""),K206*J206,"")</f>
        <v/>
      </c>
      <c r="M206" s="8" t="str">
        <f aca="false">IF(AND(F206&lt;&gt;"",G206&lt;&gt;"",H206&lt;&gt;""),IF(E206="Long",(H206-F206)/(F206-G206),(F206-H206)/(G206-F206)),"")</f>
        <v/>
      </c>
      <c r="N206" s="8" t="str">
        <f aca="false">IF(AND(F206&lt;&gt;"",G206&lt;&gt;"",I206&lt;&gt;""),IF(E206="Long",(I206-F206)/(F206-G206),(F206-I206)/(G206-F206)),"")</f>
        <v/>
      </c>
      <c r="O206" s="4" t="str">
        <f aca="false">IF(L206="","",IF(L206&gt;0,"Win",IF(L206&lt;0,"Loss","Break Even")))</f>
        <v/>
      </c>
      <c r="P206" s="4"/>
      <c r="Q206" s="4"/>
      <c r="R206" s="4"/>
    </row>
    <row r="207" customFormat="false" ht="15" hidden="false" customHeight="false" outlineLevel="0" collapsed="false">
      <c r="A207" s="9" t="str">
        <f aca="false">IF(B207&lt;&gt;"",ROW()-3,"")</f>
        <v/>
      </c>
      <c r="B207" s="10"/>
      <c r="C207" s="9" t="str">
        <f aca="false">IF(B207&lt;&gt;"",TEXT(B207,"DDDD"),"")</f>
        <v/>
      </c>
      <c r="D207" s="9"/>
      <c r="E207" s="9"/>
      <c r="F207" s="9"/>
      <c r="G207" s="9"/>
      <c r="H207" s="9"/>
      <c r="I207" s="9"/>
      <c r="J207" s="9"/>
      <c r="K207" s="11" t="str">
        <f aca="false">IF(AND(B207&lt;&gt;"",I207&lt;&gt;"",F207&lt;&gt;""),IF(E207="Long",(I207-F207)*20,(F207-I207)*20),"")</f>
        <v/>
      </c>
      <c r="L207" s="12" t="str">
        <f aca="false">IF(AND(K207&lt;&gt;"",J207&lt;&gt;""),K207*J207,"")</f>
        <v/>
      </c>
      <c r="M207" s="13" t="str">
        <f aca="false">IF(AND(F207&lt;&gt;"",G207&lt;&gt;"",H207&lt;&gt;""),IF(E207="Long",(H207-F207)/(F207-G207),(F207-H207)/(G207-F207)),"")</f>
        <v/>
      </c>
      <c r="N207" s="13" t="str">
        <f aca="false">IF(AND(F207&lt;&gt;"",G207&lt;&gt;"",I207&lt;&gt;""),IF(E207="Long",(I207-F207)/(F207-G207),(F207-I207)/(G207-F207)),"")</f>
        <v/>
      </c>
      <c r="O207" s="9" t="str">
        <f aca="false">IF(L207="","",IF(L207&gt;0,"Win",IF(L207&lt;0,"Loss","Break Even")))</f>
        <v/>
      </c>
      <c r="P207" s="9"/>
      <c r="Q207" s="9"/>
      <c r="R207" s="9"/>
    </row>
    <row r="208" customFormat="false" ht="15" hidden="false" customHeight="false" outlineLevel="0" collapsed="false">
      <c r="A208" s="4" t="str">
        <f aca="false">IF(B208&lt;&gt;"",ROW()-3,"")</f>
        <v/>
      </c>
      <c r="B208" s="5"/>
      <c r="C208" s="4" t="str">
        <f aca="false">IF(B208&lt;&gt;"",TEXT(B208,"DDDD"),"")</f>
        <v/>
      </c>
      <c r="D208" s="4"/>
      <c r="E208" s="4"/>
      <c r="F208" s="4"/>
      <c r="G208" s="4"/>
      <c r="H208" s="4"/>
      <c r="I208" s="4"/>
      <c r="J208" s="4"/>
      <c r="K208" s="6" t="str">
        <f aca="false">IF(AND(B208&lt;&gt;"",I208&lt;&gt;"",F208&lt;&gt;""),IF(E208="Long",(I208-F208)*20,(F208-I208)*20),"")</f>
        <v/>
      </c>
      <c r="L208" s="7" t="str">
        <f aca="false">IF(AND(K208&lt;&gt;"",J208&lt;&gt;""),K208*J208,"")</f>
        <v/>
      </c>
      <c r="M208" s="8" t="str">
        <f aca="false">IF(AND(F208&lt;&gt;"",G208&lt;&gt;"",H208&lt;&gt;""),IF(E208="Long",(H208-F208)/(F208-G208),(F208-H208)/(G208-F208)),"")</f>
        <v/>
      </c>
      <c r="N208" s="8" t="str">
        <f aca="false">IF(AND(F208&lt;&gt;"",G208&lt;&gt;"",I208&lt;&gt;""),IF(E208="Long",(I208-F208)/(F208-G208),(F208-I208)/(G208-F208)),"")</f>
        <v/>
      </c>
      <c r="O208" s="4" t="str">
        <f aca="false">IF(L208="","",IF(L208&gt;0,"Win",IF(L208&lt;0,"Loss","Break Even")))</f>
        <v/>
      </c>
      <c r="P208" s="4"/>
      <c r="Q208" s="4"/>
      <c r="R208" s="4"/>
    </row>
    <row r="209" customFormat="false" ht="15" hidden="false" customHeight="false" outlineLevel="0" collapsed="false">
      <c r="A209" s="9" t="str">
        <f aca="false">IF(B209&lt;&gt;"",ROW()-3,"")</f>
        <v/>
      </c>
      <c r="B209" s="10"/>
      <c r="C209" s="9" t="str">
        <f aca="false">IF(B209&lt;&gt;"",TEXT(B209,"DDDD"),"")</f>
        <v/>
      </c>
      <c r="D209" s="9"/>
      <c r="E209" s="9"/>
      <c r="F209" s="9"/>
      <c r="G209" s="9"/>
      <c r="H209" s="9"/>
      <c r="I209" s="9"/>
      <c r="J209" s="9"/>
      <c r="K209" s="11" t="str">
        <f aca="false">IF(AND(B209&lt;&gt;"",I209&lt;&gt;"",F209&lt;&gt;""),IF(E209="Long",(I209-F209)*20,(F209-I209)*20),"")</f>
        <v/>
      </c>
      <c r="L209" s="12" t="str">
        <f aca="false">IF(AND(K209&lt;&gt;"",J209&lt;&gt;""),K209*J209,"")</f>
        <v/>
      </c>
      <c r="M209" s="13" t="str">
        <f aca="false">IF(AND(F209&lt;&gt;"",G209&lt;&gt;"",H209&lt;&gt;""),IF(E209="Long",(H209-F209)/(F209-G209),(F209-H209)/(G209-F209)),"")</f>
        <v/>
      </c>
      <c r="N209" s="13" t="str">
        <f aca="false">IF(AND(F209&lt;&gt;"",G209&lt;&gt;"",I209&lt;&gt;""),IF(E209="Long",(I209-F209)/(F209-G209),(F209-I209)/(G209-F209)),"")</f>
        <v/>
      </c>
      <c r="O209" s="9" t="str">
        <f aca="false">IF(L209="","",IF(L209&gt;0,"Win",IF(L209&lt;0,"Loss","Break Even")))</f>
        <v/>
      </c>
      <c r="P209" s="9"/>
      <c r="Q209" s="9"/>
      <c r="R209" s="9"/>
    </row>
    <row r="210" customFormat="false" ht="15" hidden="false" customHeight="false" outlineLevel="0" collapsed="false">
      <c r="A210" s="4" t="str">
        <f aca="false">IF(B210&lt;&gt;"",ROW()-3,"")</f>
        <v/>
      </c>
      <c r="B210" s="5"/>
      <c r="C210" s="4" t="str">
        <f aca="false">IF(B210&lt;&gt;"",TEXT(B210,"DDDD"),"")</f>
        <v/>
      </c>
      <c r="D210" s="4"/>
      <c r="E210" s="4"/>
      <c r="F210" s="4"/>
      <c r="G210" s="4"/>
      <c r="H210" s="4"/>
      <c r="I210" s="4"/>
      <c r="J210" s="4"/>
      <c r="K210" s="6" t="str">
        <f aca="false">IF(AND(B210&lt;&gt;"",I210&lt;&gt;"",F210&lt;&gt;""),IF(E210="Long",(I210-F210)*20,(F210-I210)*20),"")</f>
        <v/>
      </c>
      <c r="L210" s="7" t="str">
        <f aca="false">IF(AND(K210&lt;&gt;"",J210&lt;&gt;""),K210*J210,"")</f>
        <v/>
      </c>
      <c r="M210" s="8" t="str">
        <f aca="false">IF(AND(F210&lt;&gt;"",G210&lt;&gt;"",H210&lt;&gt;""),IF(E210="Long",(H210-F210)/(F210-G210),(F210-H210)/(G210-F210)),"")</f>
        <v/>
      </c>
      <c r="N210" s="8" t="str">
        <f aca="false">IF(AND(F210&lt;&gt;"",G210&lt;&gt;"",I210&lt;&gt;""),IF(E210="Long",(I210-F210)/(F210-G210),(F210-I210)/(G210-F210)),"")</f>
        <v/>
      </c>
      <c r="O210" s="4" t="str">
        <f aca="false">IF(L210="","",IF(L210&gt;0,"Win",IF(L210&lt;0,"Loss","Break Even")))</f>
        <v/>
      </c>
      <c r="P210" s="4"/>
      <c r="Q210" s="4"/>
      <c r="R210" s="4"/>
    </row>
    <row r="211" customFormat="false" ht="15" hidden="false" customHeight="false" outlineLevel="0" collapsed="false">
      <c r="A211" s="9" t="str">
        <f aca="false">IF(B211&lt;&gt;"",ROW()-3,"")</f>
        <v/>
      </c>
      <c r="B211" s="10"/>
      <c r="C211" s="9" t="str">
        <f aca="false">IF(B211&lt;&gt;"",TEXT(B211,"DDDD"),"")</f>
        <v/>
      </c>
      <c r="D211" s="9"/>
      <c r="E211" s="9"/>
      <c r="F211" s="9"/>
      <c r="G211" s="9"/>
      <c r="H211" s="9"/>
      <c r="I211" s="9"/>
      <c r="J211" s="9"/>
      <c r="K211" s="11" t="str">
        <f aca="false">IF(AND(B211&lt;&gt;"",I211&lt;&gt;"",F211&lt;&gt;""),IF(E211="Long",(I211-F211)*20,(F211-I211)*20),"")</f>
        <v/>
      </c>
      <c r="L211" s="12" t="str">
        <f aca="false">IF(AND(K211&lt;&gt;"",J211&lt;&gt;""),K211*J211,"")</f>
        <v/>
      </c>
      <c r="M211" s="13" t="str">
        <f aca="false">IF(AND(F211&lt;&gt;"",G211&lt;&gt;"",H211&lt;&gt;""),IF(E211="Long",(H211-F211)/(F211-G211),(F211-H211)/(G211-F211)),"")</f>
        <v/>
      </c>
      <c r="N211" s="13" t="str">
        <f aca="false">IF(AND(F211&lt;&gt;"",G211&lt;&gt;"",I211&lt;&gt;""),IF(E211="Long",(I211-F211)/(F211-G211),(F211-I211)/(G211-F211)),"")</f>
        <v/>
      </c>
      <c r="O211" s="9" t="str">
        <f aca="false">IF(L211="","",IF(L211&gt;0,"Win",IF(L211&lt;0,"Loss","Break Even")))</f>
        <v/>
      </c>
      <c r="P211" s="9"/>
      <c r="Q211" s="9"/>
      <c r="R211" s="9"/>
    </row>
    <row r="212" customFormat="false" ht="15" hidden="false" customHeight="false" outlineLevel="0" collapsed="false">
      <c r="A212" s="4" t="str">
        <f aca="false">IF(B212&lt;&gt;"",ROW()-3,"")</f>
        <v/>
      </c>
      <c r="B212" s="5"/>
      <c r="C212" s="4" t="str">
        <f aca="false">IF(B212&lt;&gt;"",TEXT(B212,"DDDD"),"")</f>
        <v/>
      </c>
      <c r="D212" s="4"/>
      <c r="E212" s="4"/>
      <c r="F212" s="4"/>
      <c r="G212" s="4"/>
      <c r="H212" s="4"/>
      <c r="I212" s="4"/>
      <c r="J212" s="4"/>
      <c r="K212" s="6" t="str">
        <f aca="false">IF(AND(B212&lt;&gt;"",I212&lt;&gt;"",F212&lt;&gt;""),IF(E212="Long",(I212-F212)*20,(F212-I212)*20),"")</f>
        <v/>
      </c>
      <c r="L212" s="7" t="str">
        <f aca="false">IF(AND(K212&lt;&gt;"",J212&lt;&gt;""),K212*J212,"")</f>
        <v/>
      </c>
      <c r="M212" s="8" t="str">
        <f aca="false">IF(AND(F212&lt;&gt;"",G212&lt;&gt;"",H212&lt;&gt;""),IF(E212="Long",(H212-F212)/(F212-G212),(F212-H212)/(G212-F212)),"")</f>
        <v/>
      </c>
      <c r="N212" s="8" t="str">
        <f aca="false">IF(AND(F212&lt;&gt;"",G212&lt;&gt;"",I212&lt;&gt;""),IF(E212="Long",(I212-F212)/(F212-G212),(F212-I212)/(G212-F212)),"")</f>
        <v/>
      </c>
      <c r="O212" s="4" t="str">
        <f aca="false">IF(L212="","",IF(L212&gt;0,"Win",IF(L212&lt;0,"Loss","Break Even")))</f>
        <v/>
      </c>
      <c r="P212" s="4"/>
      <c r="Q212" s="4"/>
      <c r="R212" s="4"/>
    </row>
    <row r="213" customFormat="false" ht="15" hidden="false" customHeight="false" outlineLevel="0" collapsed="false">
      <c r="A213" s="9" t="str">
        <f aca="false">IF(B213&lt;&gt;"",ROW()-3,"")</f>
        <v/>
      </c>
      <c r="B213" s="10"/>
      <c r="C213" s="9" t="str">
        <f aca="false">IF(B213&lt;&gt;"",TEXT(B213,"DDDD"),"")</f>
        <v/>
      </c>
      <c r="D213" s="9"/>
      <c r="E213" s="9"/>
      <c r="F213" s="9"/>
      <c r="G213" s="9"/>
      <c r="H213" s="9"/>
      <c r="I213" s="9"/>
      <c r="J213" s="9"/>
      <c r="K213" s="11" t="str">
        <f aca="false">IF(AND(B213&lt;&gt;"",I213&lt;&gt;"",F213&lt;&gt;""),IF(E213="Long",(I213-F213)*20,(F213-I213)*20),"")</f>
        <v/>
      </c>
      <c r="L213" s="12" t="str">
        <f aca="false">IF(AND(K213&lt;&gt;"",J213&lt;&gt;""),K213*J213,"")</f>
        <v/>
      </c>
      <c r="M213" s="13" t="str">
        <f aca="false">IF(AND(F213&lt;&gt;"",G213&lt;&gt;"",H213&lt;&gt;""),IF(E213="Long",(H213-F213)/(F213-G213),(F213-H213)/(G213-F213)),"")</f>
        <v/>
      </c>
      <c r="N213" s="13" t="str">
        <f aca="false">IF(AND(F213&lt;&gt;"",G213&lt;&gt;"",I213&lt;&gt;""),IF(E213="Long",(I213-F213)/(F213-G213),(F213-I213)/(G213-F213)),"")</f>
        <v/>
      </c>
      <c r="O213" s="9" t="str">
        <f aca="false">IF(L213="","",IF(L213&gt;0,"Win",IF(L213&lt;0,"Loss","Break Even")))</f>
        <v/>
      </c>
      <c r="P213" s="9"/>
      <c r="Q213" s="9"/>
      <c r="R213" s="9"/>
    </row>
    <row r="214" customFormat="false" ht="15" hidden="false" customHeight="false" outlineLevel="0" collapsed="false">
      <c r="A214" s="4" t="str">
        <f aca="false">IF(B214&lt;&gt;"",ROW()-3,"")</f>
        <v/>
      </c>
      <c r="B214" s="5"/>
      <c r="C214" s="4" t="str">
        <f aca="false">IF(B214&lt;&gt;"",TEXT(B214,"DDDD"),"")</f>
        <v/>
      </c>
      <c r="D214" s="4"/>
      <c r="E214" s="4"/>
      <c r="F214" s="4"/>
      <c r="G214" s="4"/>
      <c r="H214" s="4"/>
      <c r="I214" s="4"/>
      <c r="J214" s="4"/>
      <c r="K214" s="6" t="str">
        <f aca="false">IF(AND(B214&lt;&gt;"",I214&lt;&gt;"",F214&lt;&gt;""),IF(E214="Long",(I214-F214)*20,(F214-I214)*20),"")</f>
        <v/>
      </c>
      <c r="L214" s="7" t="str">
        <f aca="false">IF(AND(K214&lt;&gt;"",J214&lt;&gt;""),K214*J214,"")</f>
        <v/>
      </c>
      <c r="M214" s="8" t="str">
        <f aca="false">IF(AND(F214&lt;&gt;"",G214&lt;&gt;"",H214&lt;&gt;""),IF(E214="Long",(H214-F214)/(F214-G214),(F214-H214)/(G214-F214)),"")</f>
        <v/>
      </c>
      <c r="N214" s="8" t="str">
        <f aca="false">IF(AND(F214&lt;&gt;"",G214&lt;&gt;"",I214&lt;&gt;""),IF(E214="Long",(I214-F214)/(F214-G214),(F214-I214)/(G214-F214)),"")</f>
        <v/>
      </c>
      <c r="O214" s="4" t="str">
        <f aca="false">IF(L214="","",IF(L214&gt;0,"Win",IF(L214&lt;0,"Loss","Break Even")))</f>
        <v/>
      </c>
      <c r="P214" s="4"/>
      <c r="Q214" s="4"/>
      <c r="R214" s="4"/>
    </row>
    <row r="215" customFormat="false" ht="15" hidden="false" customHeight="false" outlineLevel="0" collapsed="false">
      <c r="A215" s="9" t="str">
        <f aca="false">IF(B215&lt;&gt;"",ROW()-3,"")</f>
        <v/>
      </c>
      <c r="B215" s="10"/>
      <c r="C215" s="9" t="str">
        <f aca="false">IF(B215&lt;&gt;"",TEXT(B215,"DDDD"),"")</f>
        <v/>
      </c>
      <c r="D215" s="9"/>
      <c r="E215" s="9"/>
      <c r="F215" s="9"/>
      <c r="G215" s="9"/>
      <c r="H215" s="9"/>
      <c r="I215" s="9"/>
      <c r="J215" s="9"/>
      <c r="K215" s="11" t="str">
        <f aca="false">IF(AND(B215&lt;&gt;"",I215&lt;&gt;"",F215&lt;&gt;""),IF(E215="Long",(I215-F215)*20,(F215-I215)*20),"")</f>
        <v/>
      </c>
      <c r="L215" s="12" t="str">
        <f aca="false">IF(AND(K215&lt;&gt;"",J215&lt;&gt;""),K215*J215,"")</f>
        <v/>
      </c>
      <c r="M215" s="13" t="str">
        <f aca="false">IF(AND(F215&lt;&gt;"",G215&lt;&gt;"",H215&lt;&gt;""),IF(E215="Long",(H215-F215)/(F215-G215),(F215-H215)/(G215-F215)),"")</f>
        <v/>
      </c>
      <c r="N215" s="13" t="str">
        <f aca="false">IF(AND(F215&lt;&gt;"",G215&lt;&gt;"",I215&lt;&gt;""),IF(E215="Long",(I215-F215)/(F215-G215),(F215-I215)/(G215-F215)),"")</f>
        <v/>
      </c>
      <c r="O215" s="9" t="str">
        <f aca="false">IF(L215="","",IF(L215&gt;0,"Win",IF(L215&lt;0,"Loss","Break Even")))</f>
        <v/>
      </c>
      <c r="P215" s="9"/>
      <c r="Q215" s="9"/>
      <c r="R215" s="9"/>
    </row>
    <row r="216" customFormat="false" ht="15" hidden="false" customHeight="false" outlineLevel="0" collapsed="false">
      <c r="A216" s="4" t="str">
        <f aca="false">IF(B216&lt;&gt;"",ROW()-3,"")</f>
        <v/>
      </c>
      <c r="B216" s="5"/>
      <c r="C216" s="4" t="str">
        <f aca="false">IF(B216&lt;&gt;"",TEXT(B216,"DDDD"),"")</f>
        <v/>
      </c>
      <c r="D216" s="4"/>
      <c r="E216" s="4"/>
      <c r="F216" s="4"/>
      <c r="G216" s="4"/>
      <c r="H216" s="4"/>
      <c r="I216" s="4"/>
      <c r="J216" s="4"/>
      <c r="K216" s="6" t="str">
        <f aca="false">IF(AND(B216&lt;&gt;"",I216&lt;&gt;"",F216&lt;&gt;""),IF(E216="Long",(I216-F216)*20,(F216-I216)*20),"")</f>
        <v/>
      </c>
      <c r="L216" s="7" t="str">
        <f aca="false">IF(AND(K216&lt;&gt;"",J216&lt;&gt;""),K216*J216,"")</f>
        <v/>
      </c>
      <c r="M216" s="8" t="str">
        <f aca="false">IF(AND(F216&lt;&gt;"",G216&lt;&gt;"",H216&lt;&gt;""),IF(E216="Long",(H216-F216)/(F216-G216),(F216-H216)/(G216-F216)),"")</f>
        <v/>
      </c>
      <c r="N216" s="8" t="str">
        <f aca="false">IF(AND(F216&lt;&gt;"",G216&lt;&gt;"",I216&lt;&gt;""),IF(E216="Long",(I216-F216)/(F216-G216),(F216-I216)/(G216-F216)),"")</f>
        <v/>
      </c>
      <c r="O216" s="4" t="str">
        <f aca="false">IF(L216="","",IF(L216&gt;0,"Win",IF(L216&lt;0,"Loss","Break Even")))</f>
        <v/>
      </c>
      <c r="P216" s="4"/>
      <c r="Q216" s="4"/>
      <c r="R216" s="4"/>
    </row>
    <row r="217" customFormat="false" ht="15" hidden="false" customHeight="false" outlineLevel="0" collapsed="false">
      <c r="A217" s="9" t="str">
        <f aca="false">IF(B217&lt;&gt;"",ROW()-3,"")</f>
        <v/>
      </c>
      <c r="B217" s="10"/>
      <c r="C217" s="9" t="str">
        <f aca="false">IF(B217&lt;&gt;"",TEXT(B217,"DDDD"),"")</f>
        <v/>
      </c>
      <c r="D217" s="9"/>
      <c r="E217" s="9"/>
      <c r="F217" s="9"/>
      <c r="G217" s="9"/>
      <c r="H217" s="9"/>
      <c r="I217" s="9"/>
      <c r="J217" s="9"/>
      <c r="K217" s="11" t="str">
        <f aca="false">IF(AND(B217&lt;&gt;"",I217&lt;&gt;"",F217&lt;&gt;""),IF(E217="Long",(I217-F217)*20,(F217-I217)*20),"")</f>
        <v/>
      </c>
      <c r="L217" s="12" t="str">
        <f aca="false">IF(AND(K217&lt;&gt;"",J217&lt;&gt;""),K217*J217,"")</f>
        <v/>
      </c>
      <c r="M217" s="13" t="str">
        <f aca="false">IF(AND(F217&lt;&gt;"",G217&lt;&gt;"",H217&lt;&gt;""),IF(E217="Long",(H217-F217)/(F217-G217),(F217-H217)/(G217-F217)),"")</f>
        <v/>
      </c>
      <c r="N217" s="13" t="str">
        <f aca="false">IF(AND(F217&lt;&gt;"",G217&lt;&gt;"",I217&lt;&gt;""),IF(E217="Long",(I217-F217)/(F217-G217),(F217-I217)/(G217-F217)),"")</f>
        <v/>
      </c>
      <c r="O217" s="9" t="str">
        <f aca="false">IF(L217="","",IF(L217&gt;0,"Win",IF(L217&lt;0,"Loss","Break Even")))</f>
        <v/>
      </c>
      <c r="P217" s="9"/>
      <c r="Q217" s="9"/>
      <c r="R217" s="9"/>
    </row>
    <row r="218" customFormat="false" ht="15" hidden="false" customHeight="false" outlineLevel="0" collapsed="false">
      <c r="A218" s="4" t="str">
        <f aca="false">IF(B218&lt;&gt;"",ROW()-3,"")</f>
        <v/>
      </c>
      <c r="B218" s="5"/>
      <c r="C218" s="4" t="str">
        <f aca="false">IF(B218&lt;&gt;"",TEXT(B218,"DDDD"),"")</f>
        <v/>
      </c>
      <c r="D218" s="4"/>
      <c r="E218" s="4"/>
      <c r="F218" s="4"/>
      <c r="G218" s="4"/>
      <c r="H218" s="4"/>
      <c r="I218" s="4"/>
      <c r="J218" s="4"/>
      <c r="K218" s="6" t="str">
        <f aca="false">IF(AND(B218&lt;&gt;"",I218&lt;&gt;"",F218&lt;&gt;""),IF(E218="Long",(I218-F218)*20,(F218-I218)*20),"")</f>
        <v/>
      </c>
      <c r="L218" s="7" t="str">
        <f aca="false">IF(AND(K218&lt;&gt;"",J218&lt;&gt;""),K218*J218,"")</f>
        <v/>
      </c>
      <c r="M218" s="8" t="str">
        <f aca="false">IF(AND(F218&lt;&gt;"",G218&lt;&gt;"",H218&lt;&gt;""),IF(E218="Long",(H218-F218)/(F218-G218),(F218-H218)/(G218-F218)),"")</f>
        <v/>
      </c>
      <c r="N218" s="8" t="str">
        <f aca="false">IF(AND(F218&lt;&gt;"",G218&lt;&gt;"",I218&lt;&gt;""),IF(E218="Long",(I218-F218)/(F218-G218),(F218-I218)/(G218-F218)),"")</f>
        <v/>
      </c>
      <c r="O218" s="4" t="str">
        <f aca="false">IF(L218="","",IF(L218&gt;0,"Win",IF(L218&lt;0,"Loss","Break Even")))</f>
        <v/>
      </c>
      <c r="P218" s="4"/>
      <c r="Q218" s="4"/>
      <c r="R218" s="4"/>
    </row>
    <row r="219" customFormat="false" ht="15" hidden="false" customHeight="false" outlineLevel="0" collapsed="false">
      <c r="A219" s="9" t="str">
        <f aca="false">IF(B219&lt;&gt;"",ROW()-3,"")</f>
        <v/>
      </c>
      <c r="B219" s="10"/>
      <c r="C219" s="9" t="str">
        <f aca="false">IF(B219&lt;&gt;"",TEXT(B219,"DDDD"),"")</f>
        <v/>
      </c>
      <c r="D219" s="9"/>
      <c r="E219" s="9"/>
      <c r="F219" s="9"/>
      <c r="G219" s="9"/>
      <c r="H219" s="9"/>
      <c r="I219" s="9"/>
      <c r="J219" s="9"/>
      <c r="K219" s="11" t="str">
        <f aca="false">IF(AND(B219&lt;&gt;"",I219&lt;&gt;"",F219&lt;&gt;""),IF(E219="Long",(I219-F219)*20,(F219-I219)*20),"")</f>
        <v/>
      </c>
      <c r="L219" s="12" t="str">
        <f aca="false">IF(AND(K219&lt;&gt;"",J219&lt;&gt;""),K219*J219,"")</f>
        <v/>
      </c>
      <c r="M219" s="13" t="str">
        <f aca="false">IF(AND(F219&lt;&gt;"",G219&lt;&gt;"",H219&lt;&gt;""),IF(E219="Long",(H219-F219)/(F219-G219),(F219-H219)/(G219-F219)),"")</f>
        <v/>
      </c>
      <c r="N219" s="13" t="str">
        <f aca="false">IF(AND(F219&lt;&gt;"",G219&lt;&gt;"",I219&lt;&gt;""),IF(E219="Long",(I219-F219)/(F219-G219),(F219-I219)/(G219-F219)),"")</f>
        <v/>
      </c>
      <c r="O219" s="9" t="str">
        <f aca="false">IF(L219="","",IF(L219&gt;0,"Win",IF(L219&lt;0,"Loss","Break Even")))</f>
        <v/>
      </c>
      <c r="P219" s="9"/>
      <c r="Q219" s="9"/>
      <c r="R219" s="9"/>
    </row>
    <row r="220" customFormat="false" ht="15" hidden="false" customHeight="false" outlineLevel="0" collapsed="false">
      <c r="A220" s="4" t="str">
        <f aca="false">IF(B220&lt;&gt;"",ROW()-3,"")</f>
        <v/>
      </c>
      <c r="B220" s="5"/>
      <c r="C220" s="4" t="str">
        <f aca="false">IF(B220&lt;&gt;"",TEXT(B220,"DDDD"),"")</f>
        <v/>
      </c>
      <c r="D220" s="4"/>
      <c r="E220" s="4"/>
      <c r="F220" s="4"/>
      <c r="G220" s="4"/>
      <c r="H220" s="4"/>
      <c r="I220" s="4"/>
      <c r="J220" s="4"/>
      <c r="K220" s="6" t="str">
        <f aca="false">IF(AND(B220&lt;&gt;"",I220&lt;&gt;"",F220&lt;&gt;""),IF(E220="Long",(I220-F220)*20,(F220-I220)*20),"")</f>
        <v/>
      </c>
      <c r="L220" s="7" t="str">
        <f aca="false">IF(AND(K220&lt;&gt;"",J220&lt;&gt;""),K220*J220,"")</f>
        <v/>
      </c>
      <c r="M220" s="8" t="str">
        <f aca="false">IF(AND(F220&lt;&gt;"",G220&lt;&gt;"",H220&lt;&gt;""),IF(E220="Long",(H220-F220)/(F220-G220),(F220-H220)/(G220-F220)),"")</f>
        <v/>
      </c>
      <c r="N220" s="8" t="str">
        <f aca="false">IF(AND(F220&lt;&gt;"",G220&lt;&gt;"",I220&lt;&gt;""),IF(E220="Long",(I220-F220)/(F220-G220),(F220-I220)/(G220-F220)),"")</f>
        <v/>
      </c>
      <c r="O220" s="4" t="str">
        <f aca="false">IF(L220="","",IF(L220&gt;0,"Win",IF(L220&lt;0,"Loss","Break Even")))</f>
        <v/>
      </c>
      <c r="P220" s="4"/>
      <c r="Q220" s="4"/>
      <c r="R220" s="4"/>
    </row>
    <row r="221" customFormat="false" ht="15" hidden="false" customHeight="false" outlineLevel="0" collapsed="false">
      <c r="A221" s="9" t="str">
        <f aca="false">IF(B221&lt;&gt;"",ROW()-3,"")</f>
        <v/>
      </c>
      <c r="B221" s="10"/>
      <c r="C221" s="9" t="str">
        <f aca="false">IF(B221&lt;&gt;"",TEXT(B221,"DDDD"),"")</f>
        <v/>
      </c>
      <c r="D221" s="9"/>
      <c r="E221" s="9"/>
      <c r="F221" s="9"/>
      <c r="G221" s="9"/>
      <c r="H221" s="9"/>
      <c r="I221" s="9"/>
      <c r="J221" s="9"/>
      <c r="K221" s="11" t="str">
        <f aca="false">IF(AND(B221&lt;&gt;"",I221&lt;&gt;"",F221&lt;&gt;""),IF(E221="Long",(I221-F221)*20,(F221-I221)*20),"")</f>
        <v/>
      </c>
      <c r="L221" s="12" t="str">
        <f aca="false">IF(AND(K221&lt;&gt;"",J221&lt;&gt;""),K221*J221,"")</f>
        <v/>
      </c>
      <c r="M221" s="13" t="str">
        <f aca="false">IF(AND(F221&lt;&gt;"",G221&lt;&gt;"",H221&lt;&gt;""),IF(E221="Long",(H221-F221)/(F221-G221),(F221-H221)/(G221-F221)),"")</f>
        <v/>
      </c>
      <c r="N221" s="13" t="str">
        <f aca="false">IF(AND(F221&lt;&gt;"",G221&lt;&gt;"",I221&lt;&gt;""),IF(E221="Long",(I221-F221)/(F221-G221),(F221-I221)/(G221-F221)),"")</f>
        <v/>
      </c>
      <c r="O221" s="9" t="str">
        <f aca="false">IF(L221="","",IF(L221&gt;0,"Win",IF(L221&lt;0,"Loss","Break Even")))</f>
        <v/>
      </c>
      <c r="P221" s="9"/>
      <c r="Q221" s="9"/>
      <c r="R221" s="9"/>
    </row>
    <row r="222" customFormat="false" ht="15" hidden="false" customHeight="false" outlineLevel="0" collapsed="false">
      <c r="A222" s="4" t="str">
        <f aca="false">IF(B222&lt;&gt;"",ROW()-3,"")</f>
        <v/>
      </c>
      <c r="B222" s="5"/>
      <c r="C222" s="4" t="str">
        <f aca="false">IF(B222&lt;&gt;"",TEXT(B222,"DDDD"),"")</f>
        <v/>
      </c>
      <c r="D222" s="4"/>
      <c r="E222" s="4"/>
      <c r="F222" s="4"/>
      <c r="G222" s="4"/>
      <c r="H222" s="4"/>
      <c r="I222" s="4"/>
      <c r="J222" s="4"/>
      <c r="K222" s="6" t="str">
        <f aca="false">IF(AND(B222&lt;&gt;"",I222&lt;&gt;"",F222&lt;&gt;""),IF(E222="Long",(I222-F222)*20,(F222-I222)*20),"")</f>
        <v/>
      </c>
      <c r="L222" s="7" t="str">
        <f aca="false">IF(AND(K222&lt;&gt;"",J222&lt;&gt;""),K222*J222,"")</f>
        <v/>
      </c>
      <c r="M222" s="8" t="str">
        <f aca="false">IF(AND(F222&lt;&gt;"",G222&lt;&gt;"",H222&lt;&gt;""),IF(E222="Long",(H222-F222)/(F222-G222),(F222-H222)/(G222-F222)),"")</f>
        <v/>
      </c>
      <c r="N222" s="8" t="str">
        <f aca="false">IF(AND(F222&lt;&gt;"",G222&lt;&gt;"",I222&lt;&gt;""),IF(E222="Long",(I222-F222)/(F222-G222),(F222-I222)/(G222-F222)),"")</f>
        <v/>
      </c>
      <c r="O222" s="4" t="str">
        <f aca="false">IF(L222="","",IF(L222&gt;0,"Win",IF(L222&lt;0,"Loss","Break Even")))</f>
        <v/>
      </c>
      <c r="P222" s="4"/>
      <c r="Q222" s="4"/>
      <c r="R222" s="4"/>
    </row>
    <row r="223" customFormat="false" ht="15" hidden="false" customHeight="false" outlineLevel="0" collapsed="false">
      <c r="A223" s="9" t="str">
        <f aca="false">IF(B223&lt;&gt;"",ROW()-3,"")</f>
        <v/>
      </c>
      <c r="B223" s="10"/>
      <c r="C223" s="9" t="str">
        <f aca="false">IF(B223&lt;&gt;"",TEXT(B223,"DDDD"),"")</f>
        <v/>
      </c>
      <c r="D223" s="9"/>
      <c r="E223" s="9"/>
      <c r="F223" s="9"/>
      <c r="G223" s="9"/>
      <c r="H223" s="9"/>
      <c r="I223" s="9"/>
      <c r="J223" s="9"/>
      <c r="K223" s="11" t="str">
        <f aca="false">IF(AND(B223&lt;&gt;"",I223&lt;&gt;"",F223&lt;&gt;""),IF(E223="Long",(I223-F223)*20,(F223-I223)*20),"")</f>
        <v/>
      </c>
      <c r="L223" s="12" t="str">
        <f aca="false">IF(AND(K223&lt;&gt;"",J223&lt;&gt;""),K223*J223,"")</f>
        <v/>
      </c>
      <c r="M223" s="13" t="str">
        <f aca="false">IF(AND(F223&lt;&gt;"",G223&lt;&gt;"",H223&lt;&gt;""),IF(E223="Long",(H223-F223)/(F223-G223),(F223-H223)/(G223-F223)),"")</f>
        <v/>
      </c>
      <c r="N223" s="13" t="str">
        <f aca="false">IF(AND(F223&lt;&gt;"",G223&lt;&gt;"",I223&lt;&gt;""),IF(E223="Long",(I223-F223)/(F223-G223),(F223-I223)/(G223-F223)),"")</f>
        <v/>
      </c>
      <c r="O223" s="9" t="str">
        <f aca="false">IF(L223="","",IF(L223&gt;0,"Win",IF(L223&lt;0,"Loss","Break Even")))</f>
        <v/>
      </c>
      <c r="P223" s="9"/>
      <c r="Q223" s="9"/>
      <c r="R223" s="9"/>
    </row>
    <row r="224" customFormat="false" ht="15" hidden="false" customHeight="false" outlineLevel="0" collapsed="false">
      <c r="A224" s="4" t="str">
        <f aca="false">IF(B224&lt;&gt;"",ROW()-3,"")</f>
        <v/>
      </c>
      <c r="B224" s="5"/>
      <c r="C224" s="4" t="str">
        <f aca="false">IF(B224&lt;&gt;"",TEXT(B224,"DDDD"),"")</f>
        <v/>
      </c>
      <c r="D224" s="4"/>
      <c r="E224" s="4"/>
      <c r="F224" s="4"/>
      <c r="G224" s="4"/>
      <c r="H224" s="4"/>
      <c r="I224" s="4"/>
      <c r="J224" s="4"/>
      <c r="K224" s="6" t="str">
        <f aca="false">IF(AND(B224&lt;&gt;"",I224&lt;&gt;"",F224&lt;&gt;""),IF(E224="Long",(I224-F224)*20,(F224-I224)*20),"")</f>
        <v/>
      </c>
      <c r="L224" s="7" t="str">
        <f aca="false">IF(AND(K224&lt;&gt;"",J224&lt;&gt;""),K224*J224,"")</f>
        <v/>
      </c>
      <c r="M224" s="8" t="str">
        <f aca="false">IF(AND(F224&lt;&gt;"",G224&lt;&gt;"",H224&lt;&gt;""),IF(E224="Long",(H224-F224)/(F224-G224),(F224-H224)/(G224-F224)),"")</f>
        <v/>
      </c>
      <c r="N224" s="8" t="str">
        <f aca="false">IF(AND(F224&lt;&gt;"",G224&lt;&gt;"",I224&lt;&gt;""),IF(E224="Long",(I224-F224)/(F224-G224),(F224-I224)/(G224-F224)),"")</f>
        <v/>
      </c>
      <c r="O224" s="4" t="str">
        <f aca="false">IF(L224="","",IF(L224&gt;0,"Win",IF(L224&lt;0,"Loss","Break Even")))</f>
        <v/>
      </c>
      <c r="P224" s="4"/>
      <c r="Q224" s="4"/>
      <c r="R224" s="4"/>
    </row>
    <row r="225" customFormat="false" ht="15" hidden="false" customHeight="false" outlineLevel="0" collapsed="false">
      <c r="A225" s="9" t="str">
        <f aca="false">IF(B225&lt;&gt;"",ROW()-3,"")</f>
        <v/>
      </c>
      <c r="B225" s="10"/>
      <c r="C225" s="9" t="str">
        <f aca="false">IF(B225&lt;&gt;"",TEXT(B225,"DDDD"),"")</f>
        <v/>
      </c>
      <c r="D225" s="9"/>
      <c r="E225" s="9"/>
      <c r="F225" s="9"/>
      <c r="G225" s="9"/>
      <c r="H225" s="9"/>
      <c r="I225" s="9"/>
      <c r="J225" s="9"/>
      <c r="K225" s="11" t="str">
        <f aca="false">IF(AND(B225&lt;&gt;"",I225&lt;&gt;"",F225&lt;&gt;""),IF(E225="Long",(I225-F225)*20,(F225-I225)*20),"")</f>
        <v/>
      </c>
      <c r="L225" s="12" t="str">
        <f aca="false">IF(AND(K225&lt;&gt;"",J225&lt;&gt;""),K225*J225,"")</f>
        <v/>
      </c>
      <c r="M225" s="13" t="str">
        <f aca="false">IF(AND(F225&lt;&gt;"",G225&lt;&gt;"",H225&lt;&gt;""),IF(E225="Long",(H225-F225)/(F225-G225),(F225-H225)/(G225-F225)),"")</f>
        <v/>
      </c>
      <c r="N225" s="13" t="str">
        <f aca="false">IF(AND(F225&lt;&gt;"",G225&lt;&gt;"",I225&lt;&gt;""),IF(E225="Long",(I225-F225)/(F225-G225),(F225-I225)/(G225-F225)),"")</f>
        <v/>
      </c>
      <c r="O225" s="9" t="str">
        <f aca="false">IF(L225="","",IF(L225&gt;0,"Win",IF(L225&lt;0,"Loss","Break Even")))</f>
        <v/>
      </c>
      <c r="P225" s="9"/>
      <c r="Q225" s="9"/>
      <c r="R225" s="9"/>
    </row>
    <row r="226" customFormat="false" ht="15" hidden="false" customHeight="false" outlineLevel="0" collapsed="false">
      <c r="A226" s="4" t="str">
        <f aca="false">IF(B226&lt;&gt;"",ROW()-3,"")</f>
        <v/>
      </c>
      <c r="B226" s="5"/>
      <c r="C226" s="4" t="str">
        <f aca="false">IF(B226&lt;&gt;"",TEXT(B226,"DDDD"),"")</f>
        <v/>
      </c>
      <c r="D226" s="4"/>
      <c r="E226" s="4"/>
      <c r="F226" s="4"/>
      <c r="G226" s="4"/>
      <c r="H226" s="4"/>
      <c r="I226" s="4"/>
      <c r="J226" s="4"/>
      <c r="K226" s="6" t="str">
        <f aca="false">IF(AND(B226&lt;&gt;"",I226&lt;&gt;"",F226&lt;&gt;""),IF(E226="Long",(I226-F226)*20,(F226-I226)*20),"")</f>
        <v/>
      </c>
      <c r="L226" s="7" t="str">
        <f aca="false">IF(AND(K226&lt;&gt;"",J226&lt;&gt;""),K226*J226,"")</f>
        <v/>
      </c>
      <c r="M226" s="8" t="str">
        <f aca="false">IF(AND(F226&lt;&gt;"",G226&lt;&gt;"",H226&lt;&gt;""),IF(E226="Long",(H226-F226)/(F226-G226),(F226-H226)/(G226-F226)),"")</f>
        <v/>
      </c>
      <c r="N226" s="8" t="str">
        <f aca="false">IF(AND(F226&lt;&gt;"",G226&lt;&gt;"",I226&lt;&gt;""),IF(E226="Long",(I226-F226)/(F226-G226),(F226-I226)/(G226-F226)),"")</f>
        <v/>
      </c>
      <c r="O226" s="4" t="str">
        <f aca="false">IF(L226="","",IF(L226&gt;0,"Win",IF(L226&lt;0,"Loss","Break Even")))</f>
        <v/>
      </c>
      <c r="P226" s="4"/>
      <c r="Q226" s="4"/>
      <c r="R226" s="4"/>
    </row>
    <row r="227" customFormat="false" ht="15" hidden="false" customHeight="false" outlineLevel="0" collapsed="false">
      <c r="A227" s="9" t="str">
        <f aca="false">IF(B227&lt;&gt;"",ROW()-3,"")</f>
        <v/>
      </c>
      <c r="B227" s="10"/>
      <c r="C227" s="9" t="str">
        <f aca="false">IF(B227&lt;&gt;"",TEXT(B227,"DDDD"),"")</f>
        <v/>
      </c>
      <c r="D227" s="9"/>
      <c r="E227" s="9"/>
      <c r="F227" s="9"/>
      <c r="G227" s="9"/>
      <c r="H227" s="9"/>
      <c r="I227" s="9"/>
      <c r="J227" s="9"/>
      <c r="K227" s="11" t="str">
        <f aca="false">IF(AND(B227&lt;&gt;"",I227&lt;&gt;"",F227&lt;&gt;""),IF(E227="Long",(I227-F227)*20,(F227-I227)*20),"")</f>
        <v/>
      </c>
      <c r="L227" s="12" t="str">
        <f aca="false">IF(AND(K227&lt;&gt;"",J227&lt;&gt;""),K227*J227,"")</f>
        <v/>
      </c>
      <c r="M227" s="13" t="str">
        <f aca="false">IF(AND(F227&lt;&gt;"",G227&lt;&gt;"",H227&lt;&gt;""),IF(E227="Long",(H227-F227)/(F227-G227),(F227-H227)/(G227-F227)),"")</f>
        <v/>
      </c>
      <c r="N227" s="13" t="str">
        <f aca="false">IF(AND(F227&lt;&gt;"",G227&lt;&gt;"",I227&lt;&gt;""),IF(E227="Long",(I227-F227)/(F227-G227),(F227-I227)/(G227-F227)),"")</f>
        <v/>
      </c>
      <c r="O227" s="9" t="str">
        <f aca="false">IF(L227="","",IF(L227&gt;0,"Win",IF(L227&lt;0,"Loss","Break Even")))</f>
        <v/>
      </c>
      <c r="P227" s="9"/>
      <c r="Q227" s="9"/>
      <c r="R227" s="9"/>
    </row>
    <row r="228" customFormat="false" ht="15" hidden="false" customHeight="false" outlineLevel="0" collapsed="false">
      <c r="A228" s="4" t="str">
        <f aca="false">IF(B228&lt;&gt;"",ROW()-3,"")</f>
        <v/>
      </c>
      <c r="B228" s="5"/>
      <c r="C228" s="4" t="str">
        <f aca="false">IF(B228&lt;&gt;"",TEXT(B228,"DDDD"),"")</f>
        <v/>
      </c>
      <c r="D228" s="4"/>
      <c r="E228" s="4"/>
      <c r="F228" s="4"/>
      <c r="G228" s="4"/>
      <c r="H228" s="4"/>
      <c r="I228" s="4"/>
      <c r="J228" s="4"/>
      <c r="K228" s="6" t="str">
        <f aca="false">IF(AND(B228&lt;&gt;"",I228&lt;&gt;"",F228&lt;&gt;""),IF(E228="Long",(I228-F228)*20,(F228-I228)*20),"")</f>
        <v/>
      </c>
      <c r="L228" s="7" t="str">
        <f aca="false">IF(AND(K228&lt;&gt;"",J228&lt;&gt;""),K228*J228,"")</f>
        <v/>
      </c>
      <c r="M228" s="8" t="str">
        <f aca="false">IF(AND(F228&lt;&gt;"",G228&lt;&gt;"",H228&lt;&gt;""),IF(E228="Long",(H228-F228)/(F228-G228),(F228-H228)/(G228-F228)),"")</f>
        <v/>
      </c>
      <c r="N228" s="8" t="str">
        <f aca="false">IF(AND(F228&lt;&gt;"",G228&lt;&gt;"",I228&lt;&gt;""),IF(E228="Long",(I228-F228)/(F228-G228),(F228-I228)/(G228-F228)),"")</f>
        <v/>
      </c>
      <c r="O228" s="4" t="str">
        <f aca="false">IF(L228="","",IF(L228&gt;0,"Win",IF(L228&lt;0,"Loss","Break Even")))</f>
        <v/>
      </c>
      <c r="P228" s="4"/>
      <c r="Q228" s="4"/>
      <c r="R228" s="4"/>
    </row>
    <row r="229" customFormat="false" ht="15" hidden="false" customHeight="false" outlineLevel="0" collapsed="false">
      <c r="A229" s="9" t="str">
        <f aca="false">IF(B229&lt;&gt;"",ROW()-3,"")</f>
        <v/>
      </c>
      <c r="B229" s="10"/>
      <c r="C229" s="9" t="str">
        <f aca="false">IF(B229&lt;&gt;"",TEXT(B229,"DDDD"),"")</f>
        <v/>
      </c>
      <c r="D229" s="9"/>
      <c r="E229" s="9"/>
      <c r="F229" s="9"/>
      <c r="G229" s="9"/>
      <c r="H229" s="9"/>
      <c r="I229" s="9"/>
      <c r="J229" s="9"/>
      <c r="K229" s="11" t="str">
        <f aca="false">IF(AND(B229&lt;&gt;"",I229&lt;&gt;"",F229&lt;&gt;""),IF(E229="Long",(I229-F229)*20,(F229-I229)*20),"")</f>
        <v/>
      </c>
      <c r="L229" s="12" t="str">
        <f aca="false">IF(AND(K229&lt;&gt;"",J229&lt;&gt;""),K229*J229,"")</f>
        <v/>
      </c>
      <c r="M229" s="13" t="str">
        <f aca="false">IF(AND(F229&lt;&gt;"",G229&lt;&gt;"",H229&lt;&gt;""),IF(E229="Long",(H229-F229)/(F229-G229),(F229-H229)/(G229-F229)),"")</f>
        <v/>
      </c>
      <c r="N229" s="13" t="str">
        <f aca="false">IF(AND(F229&lt;&gt;"",G229&lt;&gt;"",I229&lt;&gt;""),IF(E229="Long",(I229-F229)/(F229-G229),(F229-I229)/(G229-F229)),"")</f>
        <v/>
      </c>
      <c r="O229" s="9" t="str">
        <f aca="false">IF(L229="","",IF(L229&gt;0,"Win",IF(L229&lt;0,"Loss","Break Even")))</f>
        <v/>
      </c>
      <c r="P229" s="9"/>
      <c r="Q229" s="9"/>
      <c r="R229" s="9"/>
    </row>
    <row r="230" customFormat="false" ht="15" hidden="false" customHeight="false" outlineLevel="0" collapsed="false">
      <c r="A230" s="4" t="str">
        <f aca="false">IF(B230&lt;&gt;"",ROW()-3,"")</f>
        <v/>
      </c>
      <c r="B230" s="5"/>
      <c r="C230" s="4" t="str">
        <f aca="false">IF(B230&lt;&gt;"",TEXT(B230,"DDDD"),"")</f>
        <v/>
      </c>
      <c r="D230" s="4"/>
      <c r="E230" s="4"/>
      <c r="F230" s="4"/>
      <c r="G230" s="4"/>
      <c r="H230" s="4"/>
      <c r="I230" s="4"/>
      <c r="J230" s="4"/>
      <c r="K230" s="6" t="str">
        <f aca="false">IF(AND(B230&lt;&gt;"",I230&lt;&gt;"",F230&lt;&gt;""),IF(E230="Long",(I230-F230)*20,(F230-I230)*20),"")</f>
        <v/>
      </c>
      <c r="L230" s="7" t="str">
        <f aca="false">IF(AND(K230&lt;&gt;"",J230&lt;&gt;""),K230*J230,"")</f>
        <v/>
      </c>
      <c r="M230" s="8" t="str">
        <f aca="false">IF(AND(F230&lt;&gt;"",G230&lt;&gt;"",H230&lt;&gt;""),IF(E230="Long",(H230-F230)/(F230-G230),(F230-H230)/(G230-F230)),"")</f>
        <v/>
      </c>
      <c r="N230" s="8" t="str">
        <f aca="false">IF(AND(F230&lt;&gt;"",G230&lt;&gt;"",I230&lt;&gt;""),IF(E230="Long",(I230-F230)/(F230-G230),(F230-I230)/(G230-F230)),"")</f>
        <v/>
      </c>
      <c r="O230" s="4" t="str">
        <f aca="false">IF(L230="","",IF(L230&gt;0,"Win",IF(L230&lt;0,"Loss","Break Even")))</f>
        <v/>
      </c>
      <c r="P230" s="4"/>
      <c r="Q230" s="4"/>
      <c r="R230" s="4"/>
    </row>
    <row r="231" customFormat="false" ht="15" hidden="false" customHeight="false" outlineLevel="0" collapsed="false">
      <c r="A231" s="9" t="str">
        <f aca="false">IF(B231&lt;&gt;"",ROW()-3,"")</f>
        <v/>
      </c>
      <c r="B231" s="10"/>
      <c r="C231" s="9" t="str">
        <f aca="false">IF(B231&lt;&gt;"",TEXT(B231,"DDDD"),"")</f>
        <v/>
      </c>
      <c r="D231" s="9"/>
      <c r="E231" s="9"/>
      <c r="F231" s="9"/>
      <c r="G231" s="9"/>
      <c r="H231" s="9"/>
      <c r="I231" s="9"/>
      <c r="J231" s="9"/>
      <c r="K231" s="11" t="str">
        <f aca="false">IF(AND(B231&lt;&gt;"",I231&lt;&gt;"",F231&lt;&gt;""),IF(E231="Long",(I231-F231)*20,(F231-I231)*20),"")</f>
        <v/>
      </c>
      <c r="L231" s="12" t="str">
        <f aca="false">IF(AND(K231&lt;&gt;"",J231&lt;&gt;""),K231*J231,"")</f>
        <v/>
      </c>
      <c r="M231" s="13" t="str">
        <f aca="false">IF(AND(F231&lt;&gt;"",G231&lt;&gt;"",H231&lt;&gt;""),IF(E231="Long",(H231-F231)/(F231-G231),(F231-H231)/(G231-F231)),"")</f>
        <v/>
      </c>
      <c r="N231" s="13" t="str">
        <f aca="false">IF(AND(F231&lt;&gt;"",G231&lt;&gt;"",I231&lt;&gt;""),IF(E231="Long",(I231-F231)/(F231-G231),(F231-I231)/(G231-F231)),"")</f>
        <v/>
      </c>
      <c r="O231" s="9" t="str">
        <f aca="false">IF(L231="","",IF(L231&gt;0,"Win",IF(L231&lt;0,"Loss","Break Even")))</f>
        <v/>
      </c>
      <c r="P231" s="9"/>
      <c r="Q231" s="9"/>
      <c r="R231" s="9"/>
    </row>
    <row r="232" customFormat="false" ht="15" hidden="false" customHeight="false" outlineLevel="0" collapsed="false">
      <c r="A232" s="4" t="str">
        <f aca="false">IF(B232&lt;&gt;"",ROW()-3,"")</f>
        <v/>
      </c>
      <c r="B232" s="5"/>
      <c r="C232" s="4" t="str">
        <f aca="false">IF(B232&lt;&gt;"",TEXT(B232,"DDDD"),"")</f>
        <v/>
      </c>
      <c r="D232" s="4"/>
      <c r="E232" s="4"/>
      <c r="F232" s="4"/>
      <c r="G232" s="4"/>
      <c r="H232" s="4"/>
      <c r="I232" s="4"/>
      <c r="J232" s="4"/>
      <c r="K232" s="6" t="str">
        <f aca="false">IF(AND(B232&lt;&gt;"",I232&lt;&gt;"",F232&lt;&gt;""),IF(E232="Long",(I232-F232)*20,(F232-I232)*20),"")</f>
        <v/>
      </c>
      <c r="L232" s="7" t="str">
        <f aca="false">IF(AND(K232&lt;&gt;"",J232&lt;&gt;""),K232*J232,"")</f>
        <v/>
      </c>
      <c r="M232" s="8" t="str">
        <f aca="false">IF(AND(F232&lt;&gt;"",G232&lt;&gt;"",H232&lt;&gt;""),IF(E232="Long",(H232-F232)/(F232-G232),(F232-H232)/(G232-F232)),"")</f>
        <v/>
      </c>
      <c r="N232" s="8" t="str">
        <f aca="false">IF(AND(F232&lt;&gt;"",G232&lt;&gt;"",I232&lt;&gt;""),IF(E232="Long",(I232-F232)/(F232-G232),(F232-I232)/(G232-F232)),"")</f>
        <v/>
      </c>
      <c r="O232" s="4" t="str">
        <f aca="false">IF(L232="","",IF(L232&gt;0,"Win",IF(L232&lt;0,"Loss","Break Even")))</f>
        <v/>
      </c>
      <c r="P232" s="4"/>
      <c r="Q232" s="4"/>
      <c r="R232" s="4"/>
    </row>
    <row r="233" customFormat="false" ht="15" hidden="false" customHeight="false" outlineLevel="0" collapsed="false">
      <c r="A233" s="9" t="str">
        <f aca="false">IF(B233&lt;&gt;"",ROW()-3,"")</f>
        <v/>
      </c>
      <c r="B233" s="10"/>
      <c r="C233" s="9" t="str">
        <f aca="false">IF(B233&lt;&gt;"",TEXT(B233,"DDDD"),"")</f>
        <v/>
      </c>
      <c r="D233" s="9"/>
      <c r="E233" s="9"/>
      <c r="F233" s="9"/>
      <c r="G233" s="9"/>
      <c r="H233" s="9"/>
      <c r="I233" s="9"/>
      <c r="J233" s="9"/>
      <c r="K233" s="11" t="str">
        <f aca="false">IF(AND(B233&lt;&gt;"",I233&lt;&gt;"",F233&lt;&gt;""),IF(E233="Long",(I233-F233)*20,(F233-I233)*20),"")</f>
        <v/>
      </c>
      <c r="L233" s="12" t="str">
        <f aca="false">IF(AND(K233&lt;&gt;"",J233&lt;&gt;""),K233*J233,"")</f>
        <v/>
      </c>
      <c r="M233" s="13" t="str">
        <f aca="false">IF(AND(F233&lt;&gt;"",G233&lt;&gt;"",H233&lt;&gt;""),IF(E233="Long",(H233-F233)/(F233-G233),(F233-H233)/(G233-F233)),"")</f>
        <v/>
      </c>
      <c r="N233" s="13" t="str">
        <f aca="false">IF(AND(F233&lt;&gt;"",G233&lt;&gt;"",I233&lt;&gt;""),IF(E233="Long",(I233-F233)/(F233-G233),(F233-I233)/(G233-F233)),"")</f>
        <v/>
      </c>
      <c r="O233" s="9" t="str">
        <f aca="false">IF(L233="","",IF(L233&gt;0,"Win",IF(L233&lt;0,"Loss","Break Even")))</f>
        <v/>
      </c>
      <c r="P233" s="9"/>
      <c r="Q233" s="9"/>
      <c r="R233" s="9"/>
    </row>
    <row r="234" customFormat="false" ht="15" hidden="false" customHeight="false" outlineLevel="0" collapsed="false">
      <c r="A234" s="4" t="str">
        <f aca="false">IF(B234&lt;&gt;"",ROW()-3,"")</f>
        <v/>
      </c>
      <c r="B234" s="5"/>
      <c r="C234" s="4" t="str">
        <f aca="false">IF(B234&lt;&gt;"",TEXT(B234,"DDDD"),"")</f>
        <v/>
      </c>
      <c r="D234" s="4"/>
      <c r="E234" s="4"/>
      <c r="F234" s="4"/>
      <c r="G234" s="4"/>
      <c r="H234" s="4"/>
      <c r="I234" s="4"/>
      <c r="J234" s="4"/>
      <c r="K234" s="6" t="str">
        <f aca="false">IF(AND(B234&lt;&gt;"",I234&lt;&gt;"",F234&lt;&gt;""),IF(E234="Long",(I234-F234)*20,(F234-I234)*20),"")</f>
        <v/>
      </c>
      <c r="L234" s="7" t="str">
        <f aca="false">IF(AND(K234&lt;&gt;"",J234&lt;&gt;""),K234*J234,"")</f>
        <v/>
      </c>
      <c r="M234" s="8" t="str">
        <f aca="false">IF(AND(F234&lt;&gt;"",G234&lt;&gt;"",H234&lt;&gt;""),IF(E234="Long",(H234-F234)/(F234-G234),(F234-H234)/(G234-F234)),"")</f>
        <v/>
      </c>
      <c r="N234" s="8" t="str">
        <f aca="false">IF(AND(F234&lt;&gt;"",G234&lt;&gt;"",I234&lt;&gt;""),IF(E234="Long",(I234-F234)/(F234-G234),(F234-I234)/(G234-F234)),"")</f>
        <v/>
      </c>
      <c r="O234" s="4" t="str">
        <f aca="false">IF(L234="","",IF(L234&gt;0,"Win",IF(L234&lt;0,"Loss","Break Even")))</f>
        <v/>
      </c>
      <c r="P234" s="4"/>
      <c r="Q234" s="4"/>
      <c r="R234" s="4"/>
    </row>
    <row r="235" customFormat="false" ht="15" hidden="false" customHeight="false" outlineLevel="0" collapsed="false">
      <c r="A235" s="9" t="str">
        <f aca="false">IF(B235&lt;&gt;"",ROW()-3,"")</f>
        <v/>
      </c>
      <c r="B235" s="10"/>
      <c r="C235" s="9" t="str">
        <f aca="false">IF(B235&lt;&gt;"",TEXT(B235,"DDDD"),"")</f>
        <v/>
      </c>
      <c r="D235" s="9"/>
      <c r="E235" s="9"/>
      <c r="F235" s="9"/>
      <c r="G235" s="9"/>
      <c r="H235" s="9"/>
      <c r="I235" s="9"/>
      <c r="J235" s="9"/>
      <c r="K235" s="11" t="str">
        <f aca="false">IF(AND(B235&lt;&gt;"",I235&lt;&gt;"",F235&lt;&gt;""),IF(E235="Long",(I235-F235)*20,(F235-I235)*20),"")</f>
        <v/>
      </c>
      <c r="L235" s="12" t="str">
        <f aca="false">IF(AND(K235&lt;&gt;"",J235&lt;&gt;""),K235*J235,"")</f>
        <v/>
      </c>
      <c r="M235" s="13" t="str">
        <f aca="false">IF(AND(F235&lt;&gt;"",G235&lt;&gt;"",H235&lt;&gt;""),IF(E235="Long",(H235-F235)/(F235-G235),(F235-H235)/(G235-F235)),"")</f>
        <v/>
      </c>
      <c r="N235" s="13" t="str">
        <f aca="false">IF(AND(F235&lt;&gt;"",G235&lt;&gt;"",I235&lt;&gt;""),IF(E235="Long",(I235-F235)/(F235-G235),(F235-I235)/(G235-F235)),"")</f>
        <v/>
      </c>
      <c r="O235" s="9" t="str">
        <f aca="false">IF(L235="","",IF(L235&gt;0,"Win",IF(L235&lt;0,"Loss","Break Even")))</f>
        <v/>
      </c>
      <c r="P235" s="9"/>
      <c r="Q235" s="9"/>
      <c r="R235" s="9"/>
    </row>
    <row r="236" customFormat="false" ht="15" hidden="false" customHeight="false" outlineLevel="0" collapsed="false">
      <c r="A236" s="4" t="str">
        <f aca="false">IF(B236&lt;&gt;"",ROW()-3,"")</f>
        <v/>
      </c>
      <c r="B236" s="5"/>
      <c r="C236" s="4" t="str">
        <f aca="false">IF(B236&lt;&gt;"",TEXT(B236,"DDDD"),"")</f>
        <v/>
      </c>
      <c r="D236" s="4"/>
      <c r="E236" s="4"/>
      <c r="F236" s="4"/>
      <c r="G236" s="4"/>
      <c r="H236" s="4"/>
      <c r="I236" s="4"/>
      <c r="J236" s="4"/>
      <c r="K236" s="6" t="str">
        <f aca="false">IF(AND(B236&lt;&gt;"",I236&lt;&gt;"",F236&lt;&gt;""),IF(E236="Long",(I236-F236)*20,(F236-I236)*20),"")</f>
        <v/>
      </c>
      <c r="L236" s="7" t="str">
        <f aca="false">IF(AND(K236&lt;&gt;"",J236&lt;&gt;""),K236*J236,"")</f>
        <v/>
      </c>
      <c r="M236" s="8" t="str">
        <f aca="false">IF(AND(F236&lt;&gt;"",G236&lt;&gt;"",H236&lt;&gt;""),IF(E236="Long",(H236-F236)/(F236-G236),(F236-H236)/(G236-F236)),"")</f>
        <v/>
      </c>
      <c r="N236" s="8" t="str">
        <f aca="false">IF(AND(F236&lt;&gt;"",G236&lt;&gt;"",I236&lt;&gt;""),IF(E236="Long",(I236-F236)/(F236-G236),(F236-I236)/(G236-F236)),"")</f>
        <v/>
      </c>
      <c r="O236" s="4" t="str">
        <f aca="false">IF(L236="","",IF(L236&gt;0,"Win",IF(L236&lt;0,"Loss","Break Even")))</f>
        <v/>
      </c>
      <c r="P236" s="4"/>
      <c r="Q236" s="4"/>
      <c r="R236" s="4"/>
    </row>
    <row r="237" customFormat="false" ht="15" hidden="false" customHeight="false" outlineLevel="0" collapsed="false">
      <c r="A237" s="9" t="str">
        <f aca="false">IF(B237&lt;&gt;"",ROW()-3,"")</f>
        <v/>
      </c>
      <c r="B237" s="10"/>
      <c r="C237" s="9" t="str">
        <f aca="false">IF(B237&lt;&gt;"",TEXT(B237,"DDDD"),"")</f>
        <v/>
      </c>
      <c r="D237" s="9"/>
      <c r="E237" s="9"/>
      <c r="F237" s="9"/>
      <c r="G237" s="9"/>
      <c r="H237" s="9"/>
      <c r="I237" s="9"/>
      <c r="J237" s="9"/>
      <c r="K237" s="11" t="str">
        <f aca="false">IF(AND(B237&lt;&gt;"",I237&lt;&gt;"",F237&lt;&gt;""),IF(E237="Long",(I237-F237)*20,(F237-I237)*20),"")</f>
        <v/>
      </c>
      <c r="L237" s="12" t="str">
        <f aca="false">IF(AND(K237&lt;&gt;"",J237&lt;&gt;""),K237*J237,"")</f>
        <v/>
      </c>
      <c r="M237" s="13" t="str">
        <f aca="false">IF(AND(F237&lt;&gt;"",G237&lt;&gt;"",H237&lt;&gt;""),IF(E237="Long",(H237-F237)/(F237-G237),(F237-H237)/(G237-F237)),"")</f>
        <v/>
      </c>
      <c r="N237" s="13" t="str">
        <f aca="false">IF(AND(F237&lt;&gt;"",G237&lt;&gt;"",I237&lt;&gt;""),IF(E237="Long",(I237-F237)/(F237-G237),(F237-I237)/(G237-F237)),"")</f>
        <v/>
      </c>
      <c r="O237" s="9" t="str">
        <f aca="false">IF(L237="","",IF(L237&gt;0,"Win",IF(L237&lt;0,"Loss","Break Even")))</f>
        <v/>
      </c>
      <c r="P237" s="9"/>
      <c r="Q237" s="9"/>
      <c r="R237" s="9"/>
    </row>
    <row r="238" customFormat="false" ht="15" hidden="false" customHeight="false" outlineLevel="0" collapsed="false">
      <c r="A238" s="4" t="str">
        <f aca="false">IF(B238&lt;&gt;"",ROW()-3,"")</f>
        <v/>
      </c>
      <c r="B238" s="5"/>
      <c r="C238" s="4" t="str">
        <f aca="false">IF(B238&lt;&gt;"",TEXT(B238,"DDDD"),"")</f>
        <v/>
      </c>
      <c r="D238" s="4"/>
      <c r="E238" s="4"/>
      <c r="F238" s="4"/>
      <c r="G238" s="4"/>
      <c r="H238" s="4"/>
      <c r="I238" s="4"/>
      <c r="J238" s="4"/>
      <c r="K238" s="6" t="str">
        <f aca="false">IF(AND(B238&lt;&gt;"",I238&lt;&gt;"",F238&lt;&gt;""),IF(E238="Long",(I238-F238)*20,(F238-I238)*20),"")</f>
        <v/>
      </c>
      <c r="L238" s="7" t="str">
        <f aca="false">IF(AND(K238&lt;&gt;"",J238&lt;&gt;""),K238*J238,"")</f>
        <v/>
      </c>
      <c r="M238" s="8" t="str">
        <f aca="false">IF(AND(F238&lt;&gt;"",G238&lt;&gt;"",H238&lt;&gt;""),IF(E238="Long",(H238-F238)/(F238-G238),(F238-H238)/(G238-F238)),"")</f>
        <v/>
      </c>
      <c r="N238" s="8" t="str">
        <f aca="false">IF(AND(F238&lt;&gt;"",G238&lt;&gt;"",I238&lt;&gt;""),IF(E238="Long",(I238-F238)/(F238-G238),(F238-I238)/(G238-F238)),"")</f>
        <v/>
      </c>
      <c r="O238" s="4" t="str">
        <f aca="false">IF(L238="","",IF(L238&gt;0,"Win",IF(L238&lt;0,"Loss","Break Even")))</f>
        <v/>
      </c>
      <c r="P238" s="4"/>
      <c r="Q238" s="4"/>
      <c r="R238" s="4"/>
    </row>
    <row r="239" customFormat="false" ht="15" hidden="false" customHeight="false" outlineLevel="0" collapsed="false">
      <c r="A239" s="9" t="str">
        <f aca="false">IF(B239&lt;&gt;"",ROW()-3,"")</f>
        <v/>
      </c>
      <c r="B239" s="10"/>
      <c r="C239" s="9" t="str">
        <f aca="false">IF(B239&lt;&gt;"",TEXT(B239,"DDDD"),"")</f>
        <v/>
      </c>
      <c r="D239" s="9"/>
      <c r="E239" s="9"/>
      <c r="F239" s="9"/>
      <c r="G239" s="9"/>
      <c r="H239" s="9"/>
      <c r="I239" s="9"/>
      <c r="J239" s="9"/>
      <c r="K239" s="11" t="str">
        <f aca="false">IF(AND(B239&lt;&gt;"",I239&lt;&gt;"",F239&lt;&gt;""),IF(E239="Long",(I239-F239)*20,(F239-I239)*20),"")</f>
        <v/>
      </c>
      <c r="L239" s="12" t="str">
        <f aca="false">IF(AND(K239&lt;&gt;"",J239&lt;&gt;""),K239*J239,"")</f>
        <v/>
      </c>
      <c r="M239" s="13" t="str">
        <f aca="false">IF(AND(F239&lt;&gt;"",G239&lt;&gt;"",H239&lt;&gt;""),IF(E239="Long",(H239-F239)/(F239-G239),(F239-H239)/(G239-F239)),"")</f>
        <v/>
      </c>
      <c r="N239" s="13" t="str">
        <f aca="false">IF(AND(F239&lt;&gt;"",G239&lt;&gt;"",I239&lt;&gt;""),IF(E239="Long",(I239-F239)/(F239-G239),(F239-I239)/(G239-F239)),"")</f>
        <v/>
      </c>
      <c r="O239" s="9" t="str">
        <f aca="false">IF(L239="","",IF(L239&gt;0,"Win",IF(L239&lt;0,"Loss","Break Even")))</f>
        <v/>
      </c>
      <c r="P239" s="9"/>
      <c r="Q239" s="9"/>
      <c r="R239" s="9"/>
    </row>
    <row r="240" customFormat="false" ht="15" hidden="false" customHeight="false" outlineLevel="0" collapsed="false">
      <c r="A240" s="4" t="str">
        <f aca="false">IF(B240&lt;&gt;"",ROW()-3,"")</f>
        <v/>
      </c>
      <c r="B240" s="5"/>
      <c r="C240" s="4" t="str">
        <f aca="false">IF(B240&lt;&gt;"",TEXT(B240,"DDDD"),"")</f>
        <v/>
      </c>
      <c r="D240" s="4"/>
      <c r="E240" s="4"/>
      <c r="F240" s="4"/>
      <c r="G240" s="4"/>
      <c r="H240" s="4"/>
      <c r="I240" s="4"/>
      <c r="J240" s="4"/>
      <c r="K240" s="6" t="str">
        <f aca="false">IF(AND(B240&lt;&gt;"",I240&lt;&gt;"",F240&lt;&gt;""),IF(E240="Long",(I240-F240)*20,(F240-I240)*20),"")</f>
        <v/>
      </c>
      <c r="L240" s="7" t="str">
        <f aca="false">IF(AND(K240&lt;&gt;"",J240&lt;&gt;""),K240*J240,"")</f>
        <v/>
      </c>
      <c r="M240" s="8" t="str">
        <f aca="false">IF(AND(F240&lt;&gt;"",G240&lt;&gt;"",H240&lt;&gt;""),IF(E240="Long",(H240-F240)/(F240-G240),(F240-H240)/(G240-F240)),"")</f>
        <v/>
      </c>
      <c r="N240" s="8" t="str">
        <f aca="false">IF(AND(F240&lt;&gt;"",G240&lt;&gt;"",I240&lt;&gt;""),IF(E240="Long",(I240-F240)/(F240-G240),(F240-I240)/(G240-F240)),"")</f>
        <v/>
      </c>
      <c r="O240" s="4" t="str">
        <f aca="false">IF(L240="","",IF(L240&gt;0,"Win",IF(L240&lt;0,"Loss","Break Even")))</f>
        <v/>
      </c>
      <c r="P240" s="4"/>
      <c r="Q240" s="4"/>
      <c r="R240" s="4"/>
    </row>
    <row r="241" customFormat="false" ht="15" hidden="false" customHeight="false" outlineLevel="0" collapsed="false">
      <c r="A241" s="9" t="str">
        <f aca="false">IF(B241&lt;&gt;"",ROW()-3,"")</f>
        <v/>
      </c>
      <c r="B241" s="10"/>
      <c r="C241" s="9" t="str">
        <f aca="false">IF(B241&lt;&gt;"",TEXT(B241,"DDDD"),"")</f>
        <v/>
      </c>
      <c r="D241" s="9"/>
      <c r="E241" s="9"/>
      <c r="F241" s="9"/>
      <c r="G241" s="9"/>
      <c r="H241" s="9"/>
      <c r="I241" s="9"/>
      <c r="J241" s="9"/>
      <c r="K241" s="11" t="str">
        <f aca="false">IF(AND(B241&lt;&gt;"",I241&lt;&gt;"",F241&lt;&gt;""),IF(E241="Long",(I241-F241)*20,(F241-I241)*20),"")</f>
        <v/>
      </c>
      <c r="L241" s="12" t="str">
        <f aca="false">IF(AND(K241&lt;&gt;"",J241&lt;&gt;""),K241*J241,"")</f>
        <v/>
      </c>
      <c r="M241" s="13" t="str">
        <f aca="false">IF(AND(F241&lt;&gt;"",G241&lt;&gt;"",H241&lt;&gt;""),IF(E241="Long",(H241-F241)/(F241-G241),(F241-H241)/(G241-F241)),"")</f>
        <v/>
      </c>
      <c r="N241" s="13" t="str">
        <f aca="false">IF(AND(F241&lt;&gt;"",G241&lt;&gt;"",I241&lt;&gt;""),IF(E241="Long",(I241-F241)/(F241-G241),(F241-I241)/(G241-F241)),"")</f>
        <v/>
      </c>
      <c r="O241" s="9" t="str">
        <f aca="false">IF(L241="","",IF(L241&gt;0,"Win",IF(L241&lt;0,"Loss","Break Even")))</f>
        <v/>
      </c>
      <c r="P241" s="9"/>
      <c r="Q241" s="9"/>
      <c r="R241" s="9"/>
    </row>
    <row r="242" customFormat="false" ht="15" hidden="false" customHeight="false" outlineLevel="0" collapsed="false">
      <c r="A242" s="4" t="str">
        <f aca="false">IF(B242&lt;&gt;"",ROW()-3,"")</f>
        <v/>
      </c>
      <c r="B242" s="5"/>
      <c r="C242" s="4" t="str">
        <f aca="false">IF(B242&lt;&gt;"",TEXT(B242,"DDDD"),"")</f>
        <v/>
      </c>
      <c r="D242" s="4"/>
      <c r="E242" s="4"/>
      <c r="F242" s="4"/>
      <c r="G242" s="4"/>
      <c r="H242" s="4"/>
      <c r="I242" s="4"/>
      <c r="J242" s="4"/>
      <c r="K242" s="6" t="str">
        <f aca="false">IF(AND(B242&lt;&gt;"",I242&lt;&gt;"",F242&lt;&gt;""),IF(E242="Long",(I242-F242)*20,(F242-I242)*20),"")</f>
        <v/>
      </c>
      <c r="L242" s="7" t="str">
        <f aca="false">IF(AND(K242&lt;&gt;"",J242&lt;&gt;""),K242*J242,"")</f>
        <v/>
      </c>
      <c r="M242" s="8" t="str">
        <f aca="false">IF(AND(F242&lt;&gt;"",G242&lt;&gt;"",H242&lt;&gt;""),IF(E242="Long",(H242-F242)/(F242-G242),(F242-H242)/(G242-F242)),"")</f>
        <v/>
      </c>
      <c r="N242" s="8" t="str">
        <f aca="false">IF(AND(F242&lt;&gt;"",G242&lt;&gt;"",I242&lt;&gt;""),IF(E242="Long",(I242-F242)/(F242-G242),(F242-I242)/(G242-F242)),"")</f>
        <v/>
      </c>
      <c r="O242" s="4" t="str">
        <f aca="false">IF(L242="","",IF(L242&gt;0,"Win",IF(L242&lt;0,"Loss","Break Even")))</f>
        <v/>
      </c>
      <c r="P242" s="4"/>
      <c r="Q242" s="4"/>
      <c r="R242" s="4"/>
    </row>
    <row r="243" customFormat="false" ht="15" hidden="false" customHeight="false" outlineLevel="0" collapsed="false">
      <c r="A243" s="9" t="str">
        <f aca="false">IF(B243&lt;&gt;"",ROW()-3,"")</f>
        <v/>
      </c>
      <c r="B243" s="10"/>
      <c r="C243" s="9" t="str">
        <f aca="false">IF(B243&lt;&gt;"",TEXT(B243,"DDDD"),"")</f>
        <v/>
      </c>
      <c r="D243" s="9"/>
      <c r="E243" s="9"/>
      <c r="F243" s="9"/>
      <c r="G243" s="9"/>
      <c r="H243" s="9"/>
      <c r="I243" s="9"/>
      <c r="J243" s="9"/>
      <c r="K243" s="11" t="str">
        <f aca="false">IF(AND(B243&lt;&gt;"",I243&lt;&gt;"",F243&lt;&gt;""),IF(E243="Long",(I243-F243)*20,(F243-I243)*20),"")</f>
        <v/>
      </c>
      <c r="L243" s="12" t="str">
        <f aca="false">IF(AND(K243&lt;&gt;"",J243&lt;&gt;""),K243*J243,"")</f>
        <v/>
      </c>
      <c r="M243" s="13" t="str">
        <f aca="false">IF(AND(F243&lt;&gt;"",G243&lt;&gt;"",H243&lt;&gt;""),IF(E243="Long",(H243-F243)/(F243-G243),(F243-H243)/(G243-F243)),"")</f>
        <v/>
      </c>
      <c r="N243" s="13" t="str">
        <f aca="false">IF(AND(F243&lt;&gt;"",G243&lt;&gt;"",I243&lt;&gt;""),IF(E243="Long",(I243-F243)/(F243-G243),(F243-I243)/(G243-F243)),"")</f>
        <v/>
      </c>
      <c r="O243" s="9" t="str">
        <f aca="false">IF(L243="","",IF(L243&gt;0,"Win",IF(L243&lt;0,"Loss","Break Even")))</f>
        <v/>
      </c>
      <c r="P243" s="9"/>
      <c r="Q243" s="9"/>
      <c r="R243" s="9"/>
    </row>
    <row r="244" customFormat="false" ht="15" hidden="false" customHeight="false" outlineLevel="0" collapsed="false">
      <c r="A244" s="4" t="str">
        <f aca="false">IF(B244&lt;&gt;"",ROW()-3,"")</f>
        <v/>
      </c>
      <c r="B244" s="5"/>
      <c r="C244" s="4" t="str">
        <f aca="false">IF(B244&lt;&gt;"",TEXT(B244,"DDDD"),"")</f>
        <v/>
      </c>
      <c r="D244" s="4"/>
      <c r="E244" s="4"/>
      <c r="F244" s="4"/>
      <c r="G244" s="4"/>
      <c r="H244" s="4"/>
      <c r="I244" s="4"/>
      <c r="J244" s="4"/>
      <c r="K244" s="6" t="str">
        <f aca="false">IF(AND(B244&lt;&gt;"",I244&lt;&gt;"",F244&lt;&gt;""),IF(E244="Long",(I244-F244)*20,(F244-I244)*20),"")</f>
        <v/>
      </c>
      <c r="L244" s="7" t="str">
        <f aca="false">IF(AND(K244&lt;&gt;"",J244&lt;&gt;""),K244*J244,"")</f>
        <v/>
      </c>
      <c r="M244" s="8" t="str">
        <f aca="false">IF(AND(F244&lt;&gt;"",G244&lt;&gt;"",H244&lt;&gt;""),IF(E244="Long",(H244-F244)/(F244-G244),(F244-H244)/(G244-F244)),"")</f>
        <v/>
      </c>
      <c r="N244" s="8" t="str">
        <f aca="false">IF(AND(F244&lt;&gt;"",G244&lt;&gt;"",I244&lt;&gt;""),IF(E244="Long",(I244-F244)/(F244-G244),(F244-I244)/(G244-F244)),"")</f>
        <v/>
      </c>
      <c r="O244" s="4" t="str">
        <f aca="false">IF(L244="","",IF(L244&gt;0,"Win",IF(L244&lt;0,"Loss","Break Even")))</f>
        <v/>
      </c>
      <c r="P244" s="4"/>
      <c r="Q244" s="4"/>
      <c r="R244" s="4"/>
    </row>
    <row r="245" customFormat="false" ht="15" hidden="false" customHeight="false" outlineLevel="0" collapsed="false">
      <c r="A245" s="9" t="str">
        <f aca="false">IF(B245&lt;&gt;"",ROW()-3,"")</f>
        <v/>
      </c>
      <c r="B245" s="10"/>
      <c r="C245" s="9" t="str">
        <f aca="false">IF(B245&lt;&gt;"",TEXT(B245,"DDDD"),"")</f>
        <v/>
      </c>
      <c r="D245" s="9"/>
      <c r="E245" s="9"/>
      <c r="F245" s="9"/>
      <c r="G245" s="9"/>
      <c r="H245" s="9"/>
      <c r="I245" s="9"/>
      <c r="J245" s="9"/>
      <c r="K245" s="11" t="str">
        <f aca="false">IF(AND(B245&lt;&gt;"",I245&lt;&gt;"",F245&lt;&gt;""),IF(E245="Long",(I245-F245)*20,(F245-I245)*20),"")</f>
        <v/>
      </c>
      <c r="L245" s="12" t="str">
        <f aca="false">IF(AND(K245&lt;&gt;"",J245&lt;&gt;""),K245*J245,"")</f>
        <v/>
      </c>
      <c r="M245" s="13" t="str">
        <f aca="false">IF(AND(F245&lt;&gt;"",G245&lt;&gt;"",H245&lt;&gt;""),IF(E245="Long",(H245-F245)/(F245-G245),(F245-H245)/(G245-F245)),"")</f>
        <v/>
      </c>
      <c r="N245" s="13" t="str">
        <f aca="false">IF(AND(F245&lt;&gt;"",G245&lt;&gt;"",I245&lt;&gt;""),IF(E245="Long",(I245-F245)/(F245-G245),(F245-I245)/(G245-F245)),"")</f>
        <v/>
      </c>
      <c r="O245" s="9" t="str">
        <f aca="false">IF(L245="","",IF(L245&gt;0,"Win",IF(L245&lt;0,"Loss","Break Even")))</f>
        <v/>
      </c>
      <c r="P245" s="9"/>
      <c r="Q245" s="9"/>
      <c r="R245" s="9"/>
    </row>
    <row r="246" customFormat="false" ht="15" hidden="false" customHeight="false" outlineLevel="0" collapsed="false">
      <c r="A246" s="4" t="str">
        <f aca="false">IF(B246&lt;&gt;"",ROW()-3,"")</f>
        <v/>
      </c>
      <c r="B246" s="5"/>
      <c r="C246" s="4" t="str">
        <f aca="false">IF(B246&lt;&gt;"",TEXT(B246,"DDDD"),"")</f>
        <v/>
      </c>
      <c r="D246" s="4"/>
      <c r="E246" s="4"/>
      <c r="F246" s="4"/>
      <c r="G246" s="4"/>
      <c r="H246" s="4"/>
      <c r="I246" s="4"/>
      <c r="J246" s="4"/>
      <c r="K246" s="6" t="str">
        <f aca="false">IF(AND(B246&lt;&gt;"",I246&lt;&gt;"",F246&lt;&gt;""),IF(E246="Long",(I246-F246)*20,(F246-I246)*20),"")</f>
        <v/>
      </c>
      <c r="L246" s="7" t="str">
        <f aca="false">IF(AND(K246&lt;&gt;"",J246&lt;&gt;""),K246*J246,"")</f>
        <v/>
      </c>
      <c r="M246" s="8" t="str">
        <f aca="false">IF(AND(F246&lt;&gt;"",G246&lt;&gt;"",H246&lt;&gt;""),IF(E246="Long",(H246-F246)/(F246-G246),(F246-H246)/(G246-F246)),"")</f>
        <v/>
      </c>
      <c r="N246" s="8" t="str">
        <f aca="false">IF(AND(F246&lt;&gt;"",G246&lt;&gt;"",I246&lt;&gt;""),IF(E246="Long",(I246-F246)/(F246-G246),(F246-I246)/(G246-F246)),"")</f>
        <v/>
      </c>
      <c r="O246" s="4" t="str">
        <f aca="false">IF(L246="","",IF(L246&gt;0,"Win",IF(L246&lt;0,"Loss","Break Even")))</f>
        <v/>
      </c>
      <c r="P246" s="4"/>
      <c r="Q246" s="4"/>
      <c r="R246" s="4"/>
    </row>
    <row r="247" customFormat="false" ht="15" hidden="false" customHeight="false" outlineLevel="0" collapsed="false">
      <c r="A247" s="9" t="str">
        <f aca="false">IF(B247&lt;&gt;"",ROW()-3,"")</f>
        <v/>
      </c>
      <c r="B247" s="10"/>
      <c r="C247" s="9" t="str">
        <f aca="false">IF(B247&lt;&gt;"",TEXT(B247,"DDDD"),"")</f>
        <v/>
      </c>
      <c r="D247" s="9"/>
      <c r="E247" s="9"/>
      <c r="F247" s="9"/>
      <c r="G247" s="9"/>
      <c r="H247" s="9"/>
      <c r="I247" s="9"/>
      <c r="J247" s="9"/>
      <c r="K247" s="11" t="str">
        <f aca="false">IF(AND(B247&lt;&gt;"",I247&lt;&gt;"",F247&lt;&gt;""),IF(E247="Long",(I247-F247)*20,(F247-I247)*20),"")</f>
        <v/>
      </c>
      <c r="L247" s="12" t="str">
        <f aca="false">IF(AND(K247&lt;&gt;"",J247&lt;&gt;""),K247*J247,"")</f>
        <v/>
      </c>
      <c r="M247" s="13" t="str">
        <f aca="false">IF(AND(F247&lt;&gt;"",G247&lt;&gt;"",H247&lt;&gt;""),IF(E247="Long",(H247-F247)/(F247-G247),(F247-H247)/(G247-F247)),"")</f>
        <v/>
      </c>
      <c r="N247" s="13" t="str">
        <f aca="false">IF(AND(F247&lt;&gt;"",G247&lt;&gt;"",I247&lt;&gt;""),IF(E247="Long",(I247-F247)/(F247-G247),(F247-I247)/(G247-F247)),"")</f>
        <v/>
      </c>
      <c r="O247" s="9" t="str">
        <f aca="false">IF(L247="","",IF(L247&gt;0,"Win",IF(L247&lt;0,"Loss","Break Even")))</f>
        <v/>
      </c>
      <c r="P247" s="9"/>
      <c r="Q247" s="9"/>
      <c r="R247" s="9"/>
    </row>
    <row r="248" customFormat="false" ht="15" hidden="false" customHeight="false" outlineLevel="0" collapsed="false">
      <c r="A248" s="4" t="str">
        <f aca="false">IF(B248&lt;&gt;"",ROW()-3,"")</f>
        <v/>
      </c>
      <c r="B248" s="5"/>
      <c r="C248" s="4" t="str">
        <f aca="false">IF(B248&lt;&gt;"",TEXT(B248,"DDDD"),"")</f>
        <v/>
      </c>
      <c r="D248" s="4"/>
      <c r="E248" s="4"/>
      <c r="F248" s="4"/>
      <c r="G248" s="4"/>
      <c r="H248" s="4"/>
      <c r="I248" s="4"/>
      <c r="J248" s="4"/>
      <c r="K248" s="6" t="str">
        <f aca="false">IF(AND(B248&lt;&gt;"",I248&lt;&gt;"",F248&lt;&gt;""),IF(E248="Long",(I248-F248)*20,(F248-I248)*20),"")</f>
        <v/>
      </c>
      <c r="L248" s="7" t="str">
        <f aca="false">IF(AND(K248&lt;&gt;"",J248&lt;&gt;""),K248*J248,"")</f>
        <v/>
      </c>
      <c r="M248" s="8" t="str">
        <f aca="false">IF(AND(F248&lt;&gt;"",G248&lt;&gt;"",H248&lt;&gt;""),IF(E248="Long",(H248-F248)/(F248-G248),(F248-H248)/(G248-F248)),"")</f>
        <v/>
      </c>
      <c r="N248" s="8" t="str">
        <f aca="false">IF(AND(F248&lt;&gt;"",G248&lt;&gt;"",I248&lt;&gt;""),IF(E248="Long",(I248-F248)/(F248-G248),(F248-I248)/(G248-F248)),"")</f>
        <v/>
      </c>
      <c r="O248" s="4" t="str">
        <f aca="false">IF(L248="","",IF(L248&gt;0,"Win",IF(L248&lt;0,"Loss","Break Even")))</f>
        <v/>
      </c>
      <c r="P248" s="4"/>
      <c r="Q248" s="4"/>
      <c r="R248" s="4"/>
    </row>
    <row r="249" customFormat="false" ht="15" hidden="false" customHeight="false" outlineLevel="0" collapsed="false">
      <c r="A249" s="9" t="str">
        <f aca="false">IF(B249&lt;&gt;"",ROW()-3,"")</f>
        <v/>
      </c>
      <c r="B249" s="10"/>
      <c r="C249" s="9" t="str">
        <f aca="false">IF(B249&lt;&gt;"",TEXT(B249,"DDDD"),"")</f>
        <v/>
      </c>
      <c r="D249" s="9"/>
      <c r="E249" s="9"/>
      <c r="F249" s="9"/>
      <c r="G249" s="9"/>
      <c r="H249" s="9"/>
      <c r="I249" s="9"/>
      <c r="J249" s="9"/>
      <c r="K249" s="11" t="str">
        <f aca="false">IF(AND(B249&lt;&gt;"",I249&lt;&gt;"",F249&lt;&gt;""),IF(E249="Long",(I249-F249)*20,(F249-I249)*20),"")</f>
        <v/>
      </c>
      <c r="L249" s="12" t="str">
        <f aca="false">IF(AND(K249&lt;&gt;"",J249&lt;&gt;""),K249*J249,"")</f>
        <v/>
      </c>
      <c r="M249" s="13" t="str">
        <f aca="false">IF(AND(F249&lt;&gt;"",G249&lt;&gt;"",H249&lt;&gt;""),IF(E249="Long",(H249-F249)/(F249-G249),(F249-H249)/(G249-F249)),"")</f>
        <v/>
      </c>
      <c r="N249" s="13" t="str">
        <f aca="false">IF(AND(F249&lt;&gt;"",G249&lt;&gt;"",I249&lt;&gt;""),IF(E249="Long",(I249-F249)/(F249-G249),(F249-I249)/(G249-F249)),"")</f>
        <v/>
      </c>
      <c r="O249" s="9" t="str">
        <f aca="false">IF(L249="","",IF(L249&gt;0,"Win",IF(L249&lt;0,"Loss","Break Even")))</f>
        <v/>
      </c>
      <c r="P249" s="9"/>
      <c r="Q249" s="9"/>
      <c r="R249" s="9"/>
    </row>
    <row r="250" customFormat="false" ht="15" hidden="false" customHeight="false" outlineLevel="0" collapsed="false">
      <c r="A250" s="4" t="str">
        <f aca="false">IF(B250&lt;&gt;"",ROW()-3,"")</f>
        <v/>
      </c>
      <c r="B250" s="5"/>
      <c r="C250" s="4" t="str">
        <f aca="false">IF(B250&lt;&gt;"",TEXT(B250,"DDDD"),"")</f>
        <v/>
      </c>
      <c r="D250" s="4"/>
      <c r="E250" s="4"/>
      <c r="F250" s="4"/>
      <c r="G250" s="4"/>
      <c r="H250" s="4"/>
      <c r="I250" s="4"/>
      <c r="J250" s="4"/>
      <c r="K250" s="6" t="str">
        <f aca="false">IF(AND(B250&lt;&gt;"",I250&lt;&gt;"",F250&lt;&gt;""),IF(E250="Long",(I250-F250)*20,(F250-I250)*20),"")</f>
        <v/>
      </c>
      <c r="L250" s="7" t="str">
        <f aca="false">IF(AND(K250&lt;&gt;"",J250&lt;&gt;""),K250*J250,"")</f>
        <v/>
      </c>
      <c r="M250" s="8" t="str">
        <f aca="false">IF(AND(F250&lt;&gt;"",G250&lt;&gt;"",H250&lt;&gt;""),IF(E250="Long",(H250-F250)/(F250-G250),(F250-H250)/(G250-F250)),"")</f>
        <v/>
      </c>
      <c r="N250" s="8" t="str">
        <f aca="false">IF(AND(F250&lt;&gt;"",G250&lt;&gt;"",I250&lt;&gt;""),IF(E250="Long",(I250-F250)/(F250-G250),(F250-I250)/(G250-F250)),"")</f>
        <v/>
      </c>
      <c r="O250" s="4" t="str">
        <f aca="false">IF(L250="","",IF(L250&gt;0,"Win",IF(L250&lt;0,"Loss","Break Even")))</f>
        <v/>
      </c>
      <c r="P250" s="4"/>
      <c r="Q250" s="4"/>
      <c r="R250" s="4"/>
    </row>
    <row r="251" customFormat="false" ht="15" hidden="false" customHeight="false" outlineLevel="0" collapsed="false">
      <c r="A251" s="9" t="str">
        <f aca="false">IF(B251&lt;&gt;"",ROW()-3,"")</f>
        <v/>
      </c>
      <c r="B251" s="10"/>
      <c r="C251" s="9" t="str">
        <f aca="false">IF(B251&lt;&gt;"",TEXT(B251,"DDDD"),"")</f>
        <v/>
      </c>
      <c r="D251" s="9"/>
      <c r="E251" s="9"/>
      <c r="F251" s="9"/>
      <c r="G251" s="9"/>
      <c r="H251" s="9"/>
      <c r="I251" s="9"/>
      <c r="J251" s="9"/>
      <c r="K251" s="11" t="str">
        <f aca="false">IF(AND(B251&lt;&gt;"",I251&lt;&gt;"",F251&lt;&gt;""),IF(E251="Long",(I251-F251)*20,(F251-I251)*20),"")</f>
        <v/>
      </c>
      <c r="L251" s="12" t="str">
        <f aca="false">IF(AND(K251&lt;&gt;"",J251&lt;&gt;""),K251*J251,"")</f>
        <v/>
      </c>
      <c r="M251" s="13" t="str">
        <f aca="false">IF(AND(F251&lt;&gt;"",G251&lt;&gt;"",H251&lt;&gt;""),IF(E251="Long",(H251-F251)/(F251-G251),(F251-H251)/(G251-F251)),"")</f>
        <v/>
      </c>
      <c r="N251" s="13" t="str">
        <f aca="false">IF(AND(F251&lt;&gt;"",G251&lt;&gt;"",I251&lt;&gt;""),IF(E251="Long",(I251-F251)/(F251-G251),(F251-I251)/(G251-F251)),"")</f>
        <v/>
      </c>
      <c r="O251" s="9" t="str">
        <f aca="false">IF(L251="","",IF(L251&gt;0,"Win",IF(L251&lt;0,"Loss","Break Even")))</f>
        <v/>
      </c>
      <c r="P251" s="9"/>
      <c r="Q251" s="9"/>
      <c r="R251" s="9"/>
    </row>
    <row r="252" customFormat="false" ht="15" hidden="false" customHeight="false" outlineLevel="0" collapsed="false">
      <c r="A252" s="4" t="str">
        <f aca="false">IF(B252&lt;&gt;"",ROW()-3,"")</f>
        <v/>
      </c>
      <c r="B252" s="5"/>
      <c r="C252" s="4" t="str">
        <f aca="false">IF(B252&lt;&gt;"",TEXT(B252,"DDDD"),"")</f>
        <v/>
      </c>
      <c r="D252" s="4"/>
      <c r="E252" s="4"/>
      <c r="F252" s="4"/>
      <c r="G252" s="4"/>
      <c r="H252" s="4"/>
      <c r="I252" s="4"/>
      <c r="J252" s="4"/>
      <c r="K252" s="6" t="str">
        <f aca="false">IF(AND(B252&lt;&gt;"",I252&lt;&gt;"",F252&lt;&gt;""),IF(E252="Long",(I252-F252)*20,(F252-I252)*20),"")</f>
        <v/>
      </c>
      <c r="L252" s="7" t="str">
        <f aca="false">IF(AND(K252&lt;&gt;"",J252&lt;&gt;""),K252*J252,"")</f>
        <v/>
      </c>
      <c r="M252" s="8" t="str">
        <f aca="false">IF(AND(F252&lt;&gt;"",G252&lt;&gt;"",H252&lt;&gt;""),IF(E252="Long",(H252-F252)/(F252-G252),(F252-H252)/(G252-F252)),"")</f>
        <v/>
      </c>
      <c r="N252" s="8" t="str">
        <f aca="false">IF(AND(F252&lt;&gt;"",G252&lt;&gt;"",I252&lt;&gt;""),IF(E252="Long",(I252-F252)/(F252-G252),(F252-I252)/(G252-F252)),"")</f>
        <v/>
      </c>
      <c r="O252" s="4" t="str">
        <f aca="false">IF(L252="","",IF(L252&gt;0,"Win",IF(L252&lt;0,"Loss","Break Even")))</f>
        <v/>
      </c>
      <c r="P252" s="4"/>
      <c r="Q252" s="4"/>
      <c r="R252" s="4"/>
    </row>
    <row r="253" customFormat="false" ht="15" hidden="false" customHeight="false" outlineLevel="0" collapsed="false">
      <c r="A253" s="9" t="str">
        <f aca="false">IF(B253&lt;&gt;"",ROW()-3,"")</f>
        <v/>
      </c>
      <c r="B253" s="10"/>
      <c r="C253" s="9" t="str">
        <f aca="false">IF(B253&lt;&gt;"",TEXT(B253,"DDDD"),"")</f>
        <v/>
      </c>
      <c r="D253" s="9"/>
      <c r="E253" s="9"/>
      <c r="F253" s="9"/>
      <c r="G253" s="9"/>
      <c r="H253" s="9"/>
      <c r="I253" s="9"/>
      <c r="J253" s="9"/>
      <c r="K253" s="11" t="str">
        <f aca="false">IF(AND(B253&lt;&gt;"",I253&lt;&gt;"",F253&lt;&gt;""),IF(E253="Long",(I253-F253)*20,(F253-I253)*20),"")</f>
        <v/>
      </c>
      <c r="L253" s="12" t="str">
        <f aca="false">IF(AND(K253&lt;&gt;"",J253&lt;&gt;""),K253*J253,"")</f>
        <v/>
      </c>
      <c r="M253" s="13" t="str">
        <f aca="false">IF(AND(F253&lt;&gt;"",G253&lt;&gt;"",H253&lt;&gt;""),IF(E253="Long",(H253-F253)/(F253-G253),(F253-H253)/(G253-F253)),"")</f>
        <v/>
      </c>
      <c r="N253" s="13" t="str">
        <f aca="false">IF(AND(F253&lt;&gt;"",G253&lt;&gt;"",I253&lt;&gt;""),IF(E253="Long",(I253-F253)/(F253-G253),(F253-I253)/(G253-F253)),"")</f>
        <v/>
      </c>
      <c r="O253" s="9" t="str">
        <f aca="false">IF(L253="","",IF(L253&gt;0,"Win",IF(L253&lt;0,"Loss","Break Even")))</f>
        <v/>
      </c>
      <c r="P253" s="9"/>
      <c r="Q253" s="9"/>
      <c r="R253" s="9"/>
    </row>
    <row r="254" customFormat="false" ht="15" hidden="false" customHeight="false" outlineLevel="0" collapsed="false">
      <c r="A254" s="4" t="str">
        <f aca="false">IF(B254&lt;&gt;"",ROW()-3,"")</f>
        <v/>
      </c>
      <c r="B254" s="5"/>
      <c r="C254" s="4" t="str">
        <f aca="false">IF(B254&lt;&gt;"",TEXT(B254,"DDDD"),"")</f>
        <v/>
      </c>
      <c r="D254" s="4"/>
      <c r="E254" s="4"/>
      <c r="F254" s="4"/>
      <c r="G254" s="4"/>
      <c r="H254" s="4"/>
      <c r="I254" s="4"/>
      <c r="J254" s="4"/>
      <c r="K254" s="6" t="str">
        <f aca="false">IF(AND(B254&lt;&gt;"",I254&lt;&gt;"",F254&lt;&gt;""),IF(E254="Long",(I254-F254)*20,(F254-I254)*20),"")</f>
        <v/>
      </c>
      <c r="L254" s="7" t="str">
        <f aca="false">IF(AND(K254&lt;&gt;"",J254&lt;&gt;""),K254*J254,"")</f>
        <v/>
      </c>
      <c r="M254" s="8" t="str">
        <f aca="false">IF(AND(F254&lt;&gt;"",G254&lt;&gt;"",H254&lt;&gt;""),IF(E254="Long",(H254-F254)/(F254-G254),(F254-H254)/(G254-F254)),"")</f>
        <v/>
      </c>
      <c r="N254" s="8" t="str">
        <f aca="false">IF(AND(F254&lt;&gt;"",G254&lt;&gt;"",I254&lt;&gt;""),IF(E254="Long",(I254-F254)/(F254-G254),(F254-I254)/(G254-F254)),"")</f>
        <v/>
      </c>
      <c r="O254" s="4" t="str">
        <f aca="false">IF(L254="","",IF(L254&gt;0,"Win",IF(L254&lt;0,"Loss","Break Even")))</f>
        <v/>
      </c>
      <c r="P254" s="4"/>
      <c r="Q254" s="4"/>
      <c r="R254" s="4"/>
    </row>
    <row r="255" customFormat="false" ht="15" hidden="false" customHeight="false" outlineLevel="0" collapsed="false">
      <c r="A255" s="9" t="str">
        <f aca="false">IF(B255&lt;&gt;"",ROW()-3,"")</f>
        <v/>
      </c>
      <c r="B255" s="10"/>
      <c r="C255" s="9" t="str">
        <f aca="false">IF(B255&lt;&gt;"",TEXT(B255,"DDDD"),"")</f>
        <v/>
      </c>
      <c r="D255" s="9"/>
      <c r="E255" s="9"/>
      <c r="F255" s="9"/>
      <c r="G255" s="9"/>
      <c r="H255" s="9"/>
      <c r="I255" s="9"/>
      <c r="J255" s="9"/>
      <c r="K255" s="11" t="str">
        <f aca="false">IF(AND(B255&lt;&gt;"",I255&lt;&gt;"",F255&lt;&gt;""),IF(E255="Long",(I255-F255)*20,(F255-I255)*20),"")</f>
        <v/>
      </c>
      <c r="L255" s="12" t="str">
        <f aca="false">IF(AND(K255&lt;&gt;"",J255&lt;&gt;""),K255*J255,"")</f>
        <v/>
      </c>
      <c r="M255" s="13" t="str">
        <f aca="false">IF(AND(F255&lt;&gt;"",G255&lt;&gt;"",H255&lt;&gt;""),IF(E255="Long",(H255-F255)/(F255-G255),(F255-H255)/(G255-F255)),"")</f>
        <v/>
      </c>
      <c r="N255" s="13" t="str">
        <f aca="false">IF(AND(F255&lt;&gt;"",G255&lt;&gt;"",I255&lt;&gt;""),IF(E255="Long",(I255-F255)/(F255-G255),(F255-I255)/(G255-F255)),"")</f>
        <v/>
      </c>
      <c r="O255" s="9" t="str">
        <f aca="false">IF(L255="","",IF(L255&gt;0,"Win",IF(L255&lt;0,"Loss","Break Even")))</f>
        <v/>
      </c>
      <c r="P255" s="9"/>
      <c r="Q255" s="9"/>
      <c r="R255" s="9"/>
    </row>
    <row r="256" customFormat="false" ht="15" hidden="false" customHeight="false" outlineLevel="0" collapsed="false">
      <c r="A256" s="4" t="str">
        <f aca="false">IF(B256&lt;&gt;"",ROW()-3,"")</f>
        <v/>
      </c>
      <c r="B256" s="5"/>
      <c r="C256" s="4" t="str">
        <f aca="false">IF(B256&lt;&gt;"",TEXT(B256,"DDDD"),"")</f>
        <v/>
      </c>
      <c r="D256" s="4"/>
      <c r="E256" s="4"/>
      <c r="F256" s="4"/>
      <c r="G256" s="4"/>
      <c r="H256" s="4"/>
      <c r="I256" s="4"/>
      <c r="J256" s="4"/>
      <c r="K256" s="6" t="str">
        <f aca="false">IF(AND(B256&lt;&gt;"",I256&lt;&gt;"",F256&lt;&gt;""),IF(E256="Long",(I256-F256)*20,(F256-I256)*20),"")</f>
        <v/>
      </c>
      <c r="L256" s="7" t="str">
        <f aca="false">IF(AND(K256&lt;&gt;"",J256&lt;&gt;""),K256*J256,"")</f>
        <v/>
      </c>
      <c r="M256" s="8" t="str">
        <f aca="false">IF(AND(F256&lt;&gt;"",G256&lt;&gt;"",H256&lt;&gt;""),IF(E256="Long",(H256-F256)/(F256-G256),(F256-H256)/(G256-F256)),"")</f>
        <v/>
      </c>
      <c r="N256" s="8" t="str">
        <f aca="false">IF(AND(F256&lt;&gt;"",G256&lt;&gt;"",I256&lt;&gt;""),IF(E256="Long",(I256-F256)/(F256-G256),(F256-I256)/(G256-F256)),"")</f>
        <v/>
      </c>
      <c r="O256" s="4" t="str">
        <f aca="false">IF(L256="","",IF(L256&gt;0,"Win",IF(L256&lt;0,"Loss","Break Even")))</f>
        <v/>
      </c>
      <c r="P256" s="4"/>
      <c r="Q256" s="4"/>
      <c r="R256" s="4"/>
    </row>
    <row r="257" customFormat="false" ht="15" hidden="false" customHeight="false" outlineLevel="0" collapsed="false">
      <c r="A257" s="9" t="str">
        <f aca="false">IF(B257&lt;&gt;"",ROW()-3,"")</f>
        <v/>
      </c>
      <c r="B257" s="10"/>
      <c r="C257" s="9" t="str">
        <f aca="false">IF(B257&lt;&gt;"",TEXT(B257,"DDDD"),"")</f>
        <v/>
      </c>
      <c r="D257" s="9"/>
      <c r="E257" s="9"/>
      <c r="F257" s="9"/>
      <c r="G257" s="9"/>
      <c r="H257" s="9"/>
      <c r="I257" s="9"/>
      <c r="J257" s="9"/>
      <c r="K257" s="11" t="str">
        <f aca="false">IF(AND(B257&lt;&gt;"",I257&lt;&gt;"",F257&lt;&gt;""),IF(E257="Long",(I257-F257)*20,(F257-I257)*20),"")</f>
        <v/>
      </c>
      <c r="L257" s="12" t="str">
        <f aca="false">IF(AND(K257&lt;&gt;"",J257&lt;&gt;""),K257*J257,"")</f>
        <v/>
      </c>
      <c r="M257" s="13" t="str">
        <f aca="false">IF(AND(F257&lt;&gt;"",G257&lt;&gt;"",H257&lt;&gt;""),IF(E257="Long",(H257-F257)/(F257-G257),(F257-H257)/(G257-F257)),"")</f>
        <v/>
      </c>
      <c r="N257" s="13" t="str">
        <f aca="false">IF(AND(F257&lt;&gt;"",G257&lt;&gt;"",I257&lt;&gt;""),IF(E257="Long",(I257-F257)/(F257-G257),(F257-I257)/(G257-F257)),"")</f>
        <v/>
      </c>
      <c r="O257" s="9" t="str">
        <f aca="false">IF(L257="","",IF(L257&gt;0,"Win",IF(L257&lt;0,"Loss","Break Even")))</f>
        <v/>
      </c>
      <c r="P257" s="9"/>
      <c r="Q257" s="9"/>
      <c r="R257" s="9"/>
    </row>
    <row r="258" customFormat="false" ht="15" hidden="false" customHeight="false" outlineLevel="0" collapsed="false">
      <c r="A258" s="4" t="str">
        <f aca="false">IF(B258&lt;&gt;"",ROW()-3,"")</f>
        <v/>
      </c>
      <c r="B258" s="5"/>
      <c r="C258" s="4" t="str">
        <f aca="false">IF(B258&lt;&gt;"",TEXT(B258,"DDDD"),"")</f>
        <v/>
      </c>
      <c r="D258" s="4"/>
      <c r="E258" s="4"/>
      <c r="F258" s="4"/>
      <c r="G258" s="4"/>
      <c r="H258" s="4"/>
      <c r="I258" s="4"/>
      <c r="J258" s="4"/>
      <c r="K258" s="6" t="str">
        <f aca="false">IF(AND(B258&lt;&gt;"",I258&lt;&gt;"",F258&lt;&gt;""),IF(E258="Long",(I258-F258)*20,(F258-I258)*20),"")</f>
        <v/>
      </c>
      <c r="L258" s="7" t="str">
        <f aca="false">IF(AND(K258&lt;&gt;"",J258&lt;&gt;""),K258*J258,"")</f>
        <v/>
      </c>
      <c r="M258" s="8" t="str">
        <f aca="false">IF(AND(F258&lt;&gt;"",G258&lt;&gt;"",H258&lt;&gt;""),IF(E258="Long",(H258-F258)/(F258-G258),(F258-H258)/(G258-F258)),"")</f>
        <v/>
      </c>
      <c r="N258" s="8" t="str">
        <f aca="false">IF(AND(F258&lt;&gt;"",G258&lt;&gt;"",I258&lt;&gt;""),IF(E258="Long",(I258-F258)/(F258-G258),(F258-I258)/(G258-F258)),"")</f>
        <v/>
      </c>
      <c r="O258" s="4" t="str">
        <f aca="false">IF(L258="","",IF(L258&gt;0,"Win",IF(L258&lt;0,"Loss","Break Even")))</f>
        <v/>
      </c>
      <c r="P258" s="4"/>
      <c r="Q258" s="4"/>
      <c r="R258" s="4"/>
    </row>
    <row r="259" customFormat="false" ht="15" hidden="false" customHeight="false" outlineLevel="0" collapsed="false">
      <c r="A259" s="9" t="str">
        <f aca="false">IF(B259&lt;&gt;"",ROW()-3,"")</f>
        <v/>
      </c>
      <c r="B259" s="10"/>
      <c r="C259" s="9" t="str">
        <f aca="false">IF(B259&lt;&gt;"",TEXT(B259,"DDDD"),"")</f>
        <v/>
      </c>
      <c r="D259" s="9"/>
      <c r="E259" s="9"/>
      <c r="F259" s="9"/>
      <c r="G259" s="9"/>
      <c r="H259" s="9"/>
      <c r="I259" s="9"/>
      <c r="J259" s="9"/>
      <c r="K259" s="11" t="str">
        <f aca="false">IF(AND(B259&lt;&gt;"",I259&lt;&gt;"",F259&lt;&gt;""),IF(E259="Long",(I259-F259)*20,(F259-I259)*20),"")</f>
        <v/>
      </c>
      <c r="L259" s="12" t="str">
        <f aca="false">IF(AND(K259&lt;&gt;"",J259&lt;&gt;""),K259*J259,"")</f>
        <v/>
      </c>
      <c r="M259" s="13" t="str">
        <f aca="false">IF(AND(F259&lt;&gt;"",G259&lt;&gt;"",H259&lt;&gt;""),IF(E259="Long",(H259-F259)/(F259-G259),(F259-H259)/(G259-F259)),"")</f>
        <v/>
      </c>
      <c r="N259" s="13" t="str">
        <f aca="false">IF(AND(F259&lt;&gt;"",G259&lt;&gt;"",I259&lt;&gt;""),IF(E259="Long",(I259-F259)/(F259-G259),(F259-I259)/(G259-F259)),"")</f>
        <v/>
      </c>
      <c r="O259" s="9" t="str">
        <f aca="false">IF(L259="","",IF(L259&gt;0,"Win",IF(L259&lt;0,"Loss","Break Even")))</f>
        <v/>
      </c>
      <c r="P259" s="9"/>
      <c r="Q259" s="9"/>
      <c r="R259" s="9"/>
    </row>
    <row r="260" customFormat="false" ht="15" hidden="false" customHeight="false" outlineLevel="0" collapsed="false">
      <c r="A260" s="4" t="str">
        <f aca="false">IF(B260&lt;&gt;"",ROW()-3,"")</f>
        <v/>
      </c>
      <c r="B260" s="5"/>
      <c r="C260" s="4" t="str">
        <f aca="false">IF(B260&lt;&gt;"",TEXT(B260,"DDDD"),"")</f>
        <v/>
      </c>
      <c r="D260" s="4"/>
      <c r="E260" s="4"/>
      <c r="F260" s="4"/>
      <c r="G260" s="4"/>
      <c r="H260" s="4"/>
      <c r="I260" s="4"/>
      <c r="J260" s="4"/>
      <c r="K260" s="6" t="str">
        <f aca="false">IF(AND(B260&lt;&gt;"",I260&lt;&gt;"",F260&lt;&gt;""),IF(E260="Long",(I260-F260)*20,(F260-I260)*20),"")</f>
        <v/>
      </c>
      <c r="L260" s="7" t="str">
        <f aca="false">IF(AND(K260&lt;&gt;"",J260&lt;&gt;""),K260*J260,"")</f>
        <v/>
      </c>
      <c r="M260" s="8" t="str">
        <f aca="false">IF(AND(F260&lt;&gt;"",G260&lt;&gt;"",H260&lt;&gt;""),IF(E260="Long",(H260-F260)/(F260-G260),(F260-H260)/(G260-F260)),"")</f>
        <v/>
      </c>
      <c r="N260" s="8" t="str">
        <f aca="false">IF(AND(F260&lt;&gt;"",G260&lt;&gt;"",I260&lt;&gt;""),IF(E260="Long",(I260-F260)/(F260-G260),(F260-I260)/(G260-F260)),"")</f>
        <v/>
      </c>
      <c r="O260" s="4" t="str">
        <f aca="false">IF(L260="","",IF(L260&gt;0,"Win",IF(L260&lt;0,"Loss","Break Even")))</f>
        <v/>
      </c>
      <c r="P260" s="4"/>
      <c r="Q260" s="4"/>
      <c r="R260" s="4"/>
    </row>
    <row r="261" customFormat="false" ht="15" hidden="false" customHeight="false" outlineLevel="0" collapsed="false">
      <c r="A261" s="9" t="str">
        <f aca="false">IF(B261&lt;&gt;"",ROW()-3,"")</f>
        <v/>
      </c>
      <c r="B261" s="10"/>
      <c r="C261" s="9" t="str">
        <f aca="false">IF(B261&lt;&gt;"",TEXT(B261,"DDDD"),"")</f>
        <v/>
      </c>
      <c r="D261" s="9"/>
      <c r="E261" s="9"/>
      <c r="F261" s="9"/>
      <c r="G261" s="9"/>
      <c r="H261" s="9"/>
      <c r="I261" s="9"/>
      <c r="J261" s="9"/>
      <c r="K261" s="11" t="str">
        <f aca="false">IF(AND(B261&lt;&gt;"",I261&lt;&gt;"",F261&lt;&gt;""),IF(E261="Long",(I261-F261)*20,(F261-I261)*20),"")</f>
        <v/>
      </c>
      <c r="L261" s="12" t="str">
        <f aca="false">IF(AND(K261&lt;&gt;"",J261&lt;&gt;""),K261*J261,"")</f>
        <v/>
      </c>
      <c r="M261" s="13" t="str">
        <f aca="false">IF(AND(F261&lt;&gt;"",G261&lt;&gt;"",H261&lt;&gt;""),IF(E261="Long",(H261-F261)/(F261-G261),(F261-H261)/(G261-F261)),"")</f>
        <v/>
      </c>
      <c r="N261" s="13" t="str">
        <f aca="false">IF(AND(F261&lt;&gt;"",G261&lt;&gt;"",I261&lt;&gt;""),IF(E261="Long",(I261-F261)/(F261-G261),(F261-I261)/(G261-F261)),"")</f>
        <v/>
      </c>
      <c r="O261" s="9" t="str">
        <f aca="false">IF(L261="","",IF(L261&gt;0,"Win",IF(L261&lt;0,"Loss","Break Even")))</f>
        <v/>
      </c>
      <c r="P261" s="9"/>
      <c r="Q261" s="9"/>
      <c r="R261" s="9"/>
    </row>
    <row r="262" customFormat="false" ht="15" hidden="false" customHeight="false" outlineLevel="0" collapsed="false">
      <c r="A262" s="4" t="str">
        <f aca="false">IF(B262&lt;&gt;"",ROW()-3,"")</f>
        <v/>
      </c>
      <c r="B262" s="5"/>
      <c r="C262" s="4" t="str">
        <f aca="false">IF(B262&lt;&gt;"",TEXT(B262,"DDDD"),"")</f>
        <v/>
      </c>
      <c r="D262" s="4"/>
      <c r="E262" s="4"/>
      <c r="F262" s="4"/>
      <c r="G262" s="4"/>
      <c r="H262" s="4"/>
      <c r="I262" s="4"/>
      <c r="J262" s="4"/>
      <c r="K262" s="6" t="str">
        <f aca="false">IF(AND(B262&lt;&gt;"",I262&lt;&gt;"",F262&lt;&gt;""),IF(E262="Long",(I262-F262)*20,(F262-I262)*20),"")</f>
        <v/>
      </c>
      <c r="L262" s="7" t="str">
        <f aca="false">IF(AND(K262&lt;&gt;"",J262&lt;&gt;""),K262*J262,"")</f>
        <v/>
      </c>
      <c r="M262" s="8" t="str">
        <f aca="false">IF(AND(F262&lt;&gt;"",G262&lt;&gt;"",H262&lt;&gt;""),IF(E262="Long",(H262-F262)/(F262-G262),(F262-H262)/(G262-F262)),"")</f>
        <v/>
      </c>
      <c r="N262" s="8" t="str">
        <f aca="false">IF(AND(F262&lt;&gt;"",G262&lt;&gt;"",I262&lt;&gt;""),IF(E262="Long",(I262-F262)/(F262-G262),(F262-I262)/(G262-F262)),"")</f>
        <v/>
      </c>
      <c r="O262" s="4" t="str">
        <f aca="false">IF(L262="","",IF(L262&gt;0,"Win",IF(L262&lt;0,"Loss","Break Even")))</f>
        <v/>
      </c>
      <c r="P262" s="4"/>
      <c r="Q262" s="4"/>
      <c r="R262" s="4"/>
    </row>
    <row r="263" customFormat="false" ht="15" hidden="false" customHeight="false" outlineLevel="0" collapsed="false">
      <c r="A263" s="9" t="str">
        <f aca="false">IF(B263&lt;&gt;"",ROW()-3,"")</f>
        <v/>
      </c>
      <c r="B263" s="10"/>
      <c r="C263" s="9" t="str">
        <f aca="false">IF(B263&lt;&gt;"",TEXT(B263,"DDDD"),"")</f>
        <v/>
      </c>
      <c r="D263" s="9"/>
      <c r="E263" s="9"/>
      <c r="F263" s="9"/>
      <c r="G263" s="9"/>
      <c r="H263" s="9"/>
      <c r="I263" s="9"/>
      <c r="J263" s="9"/>
      <c r="K263" s="11" t="str">
        <f aca="false">IF(AND(B263&lt;&gt;"",I263&lt;&gt;"",F263&lt;&gt;""),IF(E263="Long",(I263-F263)*20,(F263-I263)*20),"")</f>
        <v/>
      </c>
      <c r="L263" s="12" t="str">
        <f aca="false">IF(AND(K263&lt;&gt;"",J263&lt;&gt;""),K263*J263,"")</f>
        <v/>
      </c>
      <c r="M263" s="13" t="str">
        <f aca="false">IF(AND(F263&lt;&gt;"",G263&lt;&gt;"",H263&lt;&gt;""),IF(E263="Long",(H263-F263)/(F263-G263),(F263-H263)/(G263-F263)),"")</f>
        <v/>
      </c>
      <c r="N263" s="13" t="str">
        <f aca="false">IF(AND(F263&lt;&gt;"",G263&lt;&gt;"",I263&lt;&gt;""),IF(E263="Long",(I263-F263)/(F263-G263),(F263-I263)/(G263-F263)),"")</f>
        <v/>
      </c>
      <c r="O263" s="9" t="str">
        <f aca="false">IF(L263="","",IF(L263&gt;0,"Win",IF(L263&lt;0,"Loss","Break Even")))</f>
        <v/>
      </c>
      <c r="P263" s="9"/>
      <c r="Q263" s="9"/>
      <c r="R263" s="9"/>
    </row>
    <row r="264" customFormat="false" ht="15" hidden="false" customHeight="false" outlineLevel="0" collapsed="false">
      <c r="A264" s="4" t="str">
        <f aca="false">IF(B264&lt;&gt;"",ROW()-3,"")</f>
        <v/>
      </c>
      <c r="B264" s="5"/>
      <c r="C264" s="4" t="str">
        <f aca="false">IF(B264&lt;&gt;"",TEXT(B264,"DDDD"),"")</f>
        <v/>
      </c>
      <c r="D264" s="4"/>
      <c r="E264" s="4"/>
      <c r="F264" s="4"/>
      <c r="G264" s="4"/>
      <c r="H264" s="4"/>
      <c r="I264" s="4"/>
      <c r="J264" s="4"/>
      <c r="K264" s="6" t="str">
        <f aca="false">IF(AND(B264&lt;&gt;"",I264&lt;&gt;"",F264&lt;&gt;""),IF(E264="Long",(I264-F264)*20,(F264-I264)*20),"")</f>
        <v/>
      </c>
      <c r="L264" s="7" t="str">
        <f aca="false">IF(AND(K264&lt;&gt;"",J264&lt;&gt;""),K264*J264,"")</f>
        <v/>
      </c>
      <c r="M264" s="8" t="str">
        <f aca="false">IF(AND(F264&lt;&gt;"",G264&lt;&gt;"",H264&lt;&gt;""),IF(E264="Long",(H264-F264)/(F264-G264),(F264-H264)/(G264-F264)),"")</f>
        <v/>
      </c>
      <c r="N264" s="8" t="str">
        <f aca="false">IF(AND(F264&lt;&gt;"",G264&lt;&gt;"",I264&lt;&gt;""),IF(E264="Long",(I264-F264)/(F264-G264),(F264-I264)/(G264-F264)),"")</f>
        <v/>
      </c>
      <c r="O264" s="4" t="str">
        <f aca="false">IF(L264="","",IF(L264&gt;0,"Win",IF(L264&lt;0,"Loss","Break Even")))</f>
        <v/>
      </c>
      <c r="P264" s="4"/>
      <c r="Q264" s="4"/>
      <c r="R264" s="4"/>
    </row>
    <row r="265" customFormat="false" ht="15" hidden="false" customHeight="false" outlineLevel="0" collapsed="false">
      <c r="A265" s="9" t="str">
        <f aca="false">IF(B265&lt;&gt;"",ROW()-3,"")</f>
        <v/>
      </c>
      <c r="B265" s="10"/>
      <c r="C265" s="9" t="str">
        <f aca="false">IF(B265&lt;&gt;"",TEXT(B265,"DDDD"),"")</f>
        <v/>
      </c>
      <c r="D265" s="9"/>
      <c r="E265" s="9"/>
      <c r="F265" s="9"/>
      <c r="G265" s="9"/>
      <c r="H265" s="9"/>
      <c r="I265" s="9"/>
      <c r="J265" s="9"/>
      <c r="K265" s="11" t="str">
        <f aca="false">IF(AND(B265&lt;&gt;"",I265&lt;&gt;"",F265&lt;&gt;""),IF(E265="Long",(I265-F265)*20,(F265-I265)*20),"")</f>
        <v/>
      </c>
      <c r="L265" s="12" t="str">
        <f aca="false">IF(AND(K265&lt;&gt;"",J265&lt;&gt;""),K265*J265,"")</f>
        <v/>
      </c>
      <c r="M265" s="13" t="str">
        <f aca="false">IF(AND(F265&lt;&gt;"",G265&lt;&gt;"",H265&lt;&gt;""),IF(E265="Long",(H265-F265)/(F265-G265),(F265-H265)/(G265-F265)),"")</f>
        <v/>
      </c>
      <c r="N265" s="13" t="str">
        <f aca="false">IF(AND(F265&lt;&gt;"",G265&lt;&gt;"",I265&lt;&gt;""),IF(E265="Long",(I265-F265)/(F265-G265),(F265-I265)/(G265-F265)),"")</f>
        <v/>
      </c>
      <c r="O265" s="9" t="str">
        <f aca="false">IF(L265="","",IF(L265&gt;0,"Win",IF(L265&lt;0,"Loss","Break Even")))</f>
        <v/>
      </c>
      <c r="P265" s="9"/>
      <c r="Q265" s="9"/>
      <c r="R265" s="9"/>
    </row>
    <row r="266" customFormat="false" ht="15" hidden="false" customHeight="false" outlineLevel="0" collapsed="false">
      <c r="A266" s="4" t="str">
        <f aca="false">IF(B266&lt;&gt;"",ROW()-3,"")</f>
        <v/>
      </c>
      <c r="B266" s="5"/>
      <c r="C266" s="4" t="str">
        <f aca="false">IF(B266&lt;&gt;"",TEXT(B266,"DDDD"),"")</f>
        <v/>
      </c>
      <c r="D266" s="4"/>
      <c r="E266" s="4"/>
      <c r="F266" s="4"/>
      <c r="G266" s="4"/>
      <c r="H266" s="4"/>
      <c r="I266" s="4"/>
      <c r="J266" s="4"/>
      <c r="K266" s="6" t="str">
        <f aca="false">IF(AND(B266&lt;&gt;"",I266&lt;&gt;"",F266&lt;&gt;""),IF(E266="Long",(I266-F266)*20,(F266-I266)*20),"")</f>
        <v/>
      </c>
      <c r="L266" s="7" t="str">
        <f aca="false">IF(AND(K266&lt;&gt;"",J266&lt;&gt;""),K266*J266,"")</f>
        <v/>
      </c>
      <c r="M266" s="8" t="str">
        <f aca="false">IF(AND(F266&lt;&gt;"",G266&lt;&gt;"",H266&lt;&gt;""),IF(E266="Long",(H266-F266)/(F266-G266),(F266-H266)/(G266-F266)),"")</f>
        <v/>
      </c>
      <c r="N266" s="8" t="str">
        <f aca="false">IF(AND(F266&lt;&gt;"",G266&lt;&gt;"",I266&lt;&gt;""),IF(E266="Long",(I266-F266)/(F266-G266),(F266-I266)/(G266-F266)),"")</f>
        <v/>
      </c>
      <c r="O266" s="4" t="str">
        <f aca="false">IF(L266="","",IF(L266&gt;0,"Win",IF(L266&lt;0,"Loss","Break Even")))</f>
        <v/>
      </c>
      <c r="P266" s="4"/>
      <c r="Q266" s="4"/>
      <c r="R266" s="4"/>
    </row>
    <row r="267" customFormat="false" ht="15" hidden="false" customHeight="false" outlineLevel="0" collapsed="false">
      <c r="A267" s="9" t="str">
        <f aca="false">IF(B267&lt;&gt;"",ROW()-3,"")</f>
        <v/>
      </c>
      <c r="B267" s="10"/>
      <c r="C267" s="9" t="str">
        <f aca="false">IF(B267&lt;&gt;"",TEXT(B267,"DDDD"),"")</f>
        <v/>
      </c>
      <c r="D267" s="9"/>
      <c r="E267" s="9"/>
      <c r="F267" s="9"/>
      <c r="G267" s="9"/>
      <c r="H267" s="9"/>
      <c r="I267" s="9"/>
      <c r="J267" s="9"/>
      <c r="K267" s="11" t="str">
        <f aca="false">IF(AND(B267&lt;&gt;"",I267&lt;&gt;"",F267&lt;&gt;""),IF(E267="Long",(I267-F267)*20,(F267-I267)*20),"")</f>
        <v/>
      </c>
      <c r="L267" s="12" t="str">
        <f aca="false">IF(AND(K267&lt;&gt;"",J267&lt;&gt;""),K267*J267,"")</f>
        <v/>
      </c>
      <c r="M267" s="13" t="str">
        <f aca="false">IF(AND(F267&lt;&gt;"",G267&lt;&gt;"",H267&lt;&gt;""),IF(E267="Long",(H267-F267)/(F267-G267),(F267-H267)/(G267-F267)),"")</f>
        <v/>
      </c>
      <c r="N267" s="13" t="str">
        <f aca="false">IF(AND(F267&lt;&gt;"",G267&lt;&gt;"",I267&lt;&gt;""),IF(E267="Long",(I267-F267)/(F267-G267),(F267-I267)/(G267-F267)),"")</f>
        <v/>
      </c>
      <c r="O267" s="9" t="str">
        <f aca="false">IF(L267="","",IF(L267&gt;0,"Win",IF(L267&lt;0,"Loss","Break Even")))</f>
        <v/>
      </c>
      <c r="P267" s="9"/>
      <c r="Q267" s="9"/>
      <c r="R267" s="9"/>
    </row>
    <row r="268" customFormat="false" ht="15" hidden="false" customHeight="false" outlineLevel="0" collapsed="false">
      <c r="A268" s="4" t="str">
        <f aca="false">IF(B268&lt;&gt;"",ROW()-3,"")</f>
        <v/>
      </c>
      <c r="B268" s="5"/>
      <c r="C268" s="4" t="str">
        <f aca="false">IF(B268&lt;&gt;"",TEXT(B268,"DDDD"),"")</f>
        <v/>
      </c>
      <c r="D268" s="4"/>
      <c r="E268" s="4"/>
      <c r="F268" s="4"/>
      <c r="G268" s="4"/>
      <c r="H268" s="4"/>
      <c r="I268" s="4"/>
      <c r="J268" s="4"/>
      <c r="K268" s="6" t="str">
        <f aca="false">IF(AND(B268&lt;&gt;"",I268&lt;&gt;"",F268&lt;&gt;""),IF(E268="Long",(I268-F268)*20,(F268-I268)*20),"")</f>
        <v/>
      </c>
      <c r="L268" s="7" t="str">
        <f aca="false">IF(AND(K268&lt;&gt;"",J268&lt;&gt;""),K268*J268,"")</f>
        <v/>
      </c>
      <c r="M268" s="8" t="str">
        <f aca="false">IF(AND(F268&lt;&gt;"",G268&lt;&gt;"",H268&lt;&gt;""),IF(E268="Long",(H268-F268)/(F268-G268),(F268-H268)/(G268-F268)),"")</f>
        <v/>
      </c>
      <c r="N268" s="8" t="str">
        <f aca="false">IF(AND(F268&lt;&gt;"",G268&lt;&gt;"",I268&lt;&gt;""),IF(E268="Long",(I268-F268)/(F268-G268),(F268-I268)/(G268-F268)),"")</f>
        <v/>
      </c>
      <c r="O268" s="4" t="str">
        <f aca="false">IF(L268="","",IF(L268&gt;0,"Win",IF(L268&lt;0,"Loss","Break Even")))</f>
        <v/>
      </c>
      <c r="P268" s="4"/>
      <c r="Q268" s="4"/>
      <c r="R268" s="4"/>
    </row>
    <row r="269" customFormat="false" ht="15" hidden="false" customHeight="false" outlineLevel="0" collapsed="false">
      <c r="A269" s="9" t="str">
        <f aca="false">IF(B269&lt;&gt;"",ROW()-3,"")</f>
        <v/>
      </c>
      <c r="B269" s="10"/>
      <c r="C269" s="9" t="str">
        <f aca="false">IF(B269&lt;&gt;"",TEXT(B269,"DDDD"),"")</f>
        <v/>
      </c>
      <c r="D269" s="9"/>
      <c r="E269" s="9"/>
      <c r="F269" s="9"/>
      <c r="G269" s="9"/>
      <c r="H269" s="9"/>
      <c r="I269" s="9"/>
      <c r="J269" s="9"/>
      <c r="K269" s="11" t="str">
        <f aca="false">IF(AND(B269&lt;&gt;"",I269&lt;&gt;"",F269&lt;&gt;""),IF(E269="Long",(I269-F269)*20,(F269-I269)*20),"")</f>
        <v/>
      </c>
      <c r="L269" s="12" t="str">
        <f aca="false">IF(AND(K269&lt;&gt;"",J269&lt;&gt;""),K269*J269,"")</f>
        <v/>
      </c>
      <c r="M269" s="13" t="str">
        <f aca="false">IF(AND(F269&lt;&gt;"",G269&lt;&gt;"",H269&lt;&gt;""),IF(E269="Long",(H269-F269)/(F269-G269),(F269-H269)/(G269-F269)),"")</f>
        <v/>
      </c>
      <c r="N269" s="13" t="str">
        <f aca="false">IF(AND(F269&lt;&gt;"",G269&lt;&gt;"",I269&lt;&gt;""),IF(E269="Long",(I269-F269)/(F269-G269),(F269-I269)/(G269-F269)),"")</f>
        <v/>
      </c>
      <c r="O269" s="9" t="str">
        <f aca="false">IF(L269="","",IF(L269&gt;0,"Win",IF(L269&lt;0,"Loss","Break Even")))</f>
        <v/>
      </c>
      <c r="P269" s="9"/>
      <c r="Q269" s="9"/>
      <c r="R269" s="9"/>
    </row>
    <row r="270" customFormat="false" ht="15" hidden="false" customHeight="false" outlineLevel="0" collapsed="false">
      <c r="A270" s="4" t="str">
        <f aca="false">IF(B270&lt;&gt;"",ROW()-3,"")</f>
        <v/>
      </c>
      <c r="B270" s="5"/>
      <c r="C270" s="4" t="str">
        <f aca="false">IF(B270&lt;&gt;"",TEXT(B270,"DDDD"),"")</f>
        <v/>
      </c>
      <c r="D270" s="4"/>
      <c r="E270" s="4"/>
      <c r="F270" s="4"/>
      <c r="G270" s="4"/>
      <c r="H270" s="4"/>
      <c r="I270" s="4"/>
      <c r="J270" s="4"/>
      <c r="K270" s="6" t="str">
        <f aca="false">IF(AND(B270&lt;&gt;"",I270&lt;&gt;"",F270&lt;&gt;""),IF(E270="Long",(I270-F270)*20,(F270-I270)*20),"")</f>
        <v/>
      </c>
      <c r="L270" s="7" t="str">
        <f aca="false">IF(AND(K270&lt;&gt;"",J270&lt;&gt;""),K270*J270,"")</f>
        <v/>
      </c>
      <c r="M270" s="8" t="str">
        <f aca="false">IF(AND(F270&lt;&gt;"",G270&lt;&gt;"",H270&lt;&gt;""),IF(E270="Long",(H270-F270)/(F270-G270),(F270-H270)/(G270-F270)),"")</f>
        <v/>
      </c>
      <c r="N270" s="8" t="str">
        <f aca="false">IF(AND(F270&lt;&gt;"",G270&lt;&gt;"",I270&lt;&gt;""),IF(E270="Long",(I270-F270)/(F270-G270),(F270-I270)/(G270-F270)),"")</f>
        <v/>
      </c>
      <c r="O270" s="4" t="str">
        <f aca="false">IF(L270="","",IF(L270&gt;0,"Win",IF(L270&lt;0,"Loss","Break Even")))</f>
        <v/>
      </c>
      <c r="P270" s="4"/>
      <c r="Q270" s="4"/>
      <c r="R270" s="4"/>
    </row>
    <row r="271" customFormat="false" ht="15" hidden="false" customHeight="false" outlineLevel="0" collapsed="false">
      <c r="A271" s="9" t="str">
        <f aca="false">IF(B271&lt;&gt;"",ROW()-3,"")</f>
        <v/>
      </c>
      <c r="B271" s="10"/>
      <c r="C271" s="9" t="str">
        <f aca="false">IF(B271&lt;&gt;"",TEXT(B271,"DDDD"),"")</f>
        <v/>
      </c>
      <c r="D271" s="9"/>
      <c r="E271" s="9"/>
      <c r="F271" s="9"/>
      <c r="G271" s="9"/>
      <c r="H271" s="9"/>
      <c r="I271" s="9"/>
      <c r="J271" s="9"/>
      <c r="K271" s="11" t="str">
        <f aca="false">IF(AND(B271&lt;&gt;"",I271&lt;&gt;"",F271&lt;&gt;""),IF(E271="Long",(I271-F271)*20,(F271-I271)*20),"")</f>
        <v/>
      </c>
      <c r="L271" s="12" t="str">
        <f aca="false">IF(AND(K271&lt;&gt;"",J271&lt;&gt;""),K271*J271,"")</f>
        <v/>
      </c>
      <c r="M271" s="13" t="str">
        <f aca="false">IF(AND(F271&lt;&gt;"",G271&lt;&gt;"",H271&lt;&gt;""),IF(E271="Long",(H271-F271)/(F271-G271),(F271-H271)/(G271-F271)),"")</f>
        <v/>
      </c>
      <c r="N271" s="13" t="str">
        <f aca="false">IF(AND(F271&lt;&gt;"",G271&lt;&gt;"",I271&lt;&gt;""),IF(E271="Long",(I271-F271)/(F271-G271),(F271-I271)/(G271-F271)),"")</f>
        <v/>
      </c>
      <c r="O271" s="9" t="str">
        <f aca="false">IF(L271="","",IF(L271&gt;0,"Win",IF(L271&lt;0,"Loss","Break Even")))</f>
        <v/>
      </c>
      <c r="P271" s="9"/>
      <c r="Q271" s="9"/>
      <c r="R271" s="9"/>
    </row>
    <row r="272" customFormat="false" ht="15" hidden="false" customHeight="false" outlineLevel="0" collapsed="false">
      <c r="A272" s="4" t="str">
        <f aca="false">IF(B272&lt;&gt;"",ROW()-3,"")</f>
        <v/>
      </c>
      <c r="B272" s="5"/>
      <c r="C272" s="4" t="str">
        <f aca="false">IF(B272&lt;&gt;"",TEXT(B272,"DDDD"),"")</f>
        <v/>
      </c>
      <c r="D272" s="4"/>
      <c r="E272" s="4"/>
      <c r="F272" s="4"/>
      <c r="G272" s="4"/>
      <c r="H272" s="4"/>
      <c r="I272" s="4"/>
      <c r="J272" s="4"/>
      <c r="K272" s="6" t="str">
        <f aca="false">IF(AND(B272&lt;&gt;"",I272&lt;&gt;"",F272&lt;&gt;""),IF(E272="Long",(I272-F272)*20,(F272-I272)*20),"")</f>
        <v/>
      </c>
      <c r="L272" s="7" t="str">
        <f aca="false">IF(AND(K272&lt;&gt;"",J272&lt;&gt;""),K272*J272,"")</f>
        <v/>
      </c>
      <c r="M272" s="8" t="str">
        <f aca="false">IF(AND(F272&lt;&gt;"",G272&lt;&gt;"",H272&lt;&gt;""),IF(E272="Long",(H272-F272)/(F272-G272),(F272-H272)/(G272-F272)),"")</f>
        <v/>
      </c>
      <c r="N272" s="8" t="str">
        <f aca="false">IF(AND(F272&lt;&gt;"",G272&lt;&gt;"",I272&lt;&gt;""),IF(E272="Long",(I272-F272)/(F272-G272),(F272-I272)/(G272-F272)),"")</f>
        <v/>
      </c>
      <c r="O272" s="4" t="str">
        <f aca="false">IF(L272="","",IF(L272&gt;0,"Win",IF(L272&lt;0,"Loss","Break Even")))</f>
        <v/>
      </c>
      <c r="P272" s="4"/>
      <c r="Q272" s="4"/>
      <c r="R272" s="4"/>
    </row>
    <row r="273" customFormat="false" ht="15" hidden="false" customHeight="false" outlineLevel="0" collapsed="false">
      <c r="A273" s="9" t="str">
        <f aca="false">IF(B273&lt;&gt;"",ROW()-3,"")</f>
        <v/>
      </c>
      <c r="B273" s="10"/>
      <c r="C273" s="9" t="str">
        <f aca="false">IF(B273&lt;&gt;"",TEXT(B273,"DDDD"),"")</f>
        <v/>
      </c>
      <c r="D273" s="9"/>
      <c r="E273" s="9"/>
      <c r="F273" s="9"/>
      <c r="G273" s="9"/>
      <c r="H273" s="9"/>
      <c r="I273" s="9"/>
      <c r="J273" s="9"/>
      <c r="K273" s="11" t="str">
        <f aca="false">IF(AND(B273&lt;&gt;"",I273&lt;&gt;"",F273&lt;&gt;""),IF(E273="Long",(I273-F273)*20,(F273-I273)*20),"")</f>
        <v/>
      </c>
      <c r="L273" s="12" t="str">
        <f aca="false">IF(AND(K273&lt;&gt;"",J273&lt;&gt;""),K273*J273,"")</f>
        <v/>
      </c>
      <c r="M273" s="13" t="str">
        <f aca="false">IF(AND(F273&lt;&gt;"",G273&lt;&gt;"",H273&lt;&gt;""),IF(E273="Long",(H273-F273)/(F273-G273),(F273-H273)/(G273-F273)),"")</f>
        <v/>
      </c>
      <c r="N273" s="13" t="str">
        <f aca="false">IF(AND(F273&lt;&gt;"",G273&lt;&gt;"",I273&lt;&gt;""),IF(E273="Long",(I273-F273)/(F273-G273),(F273-I273)/(G273-F273)),"")</f>
        <v/>
      </c>
      <c r="O273" s="9" t="str">
        <f aca="false">IF(L273="","",IF(L273&gt;0,"Win",IF(L273&lt;0,"Loss","Break Even")))</f>
        <v/>
      </c>
      <c r="P273" s="9"/>
      <c r="Q273" s="9"/>
      <c r="R273" s="9"/>
    </row>
    <row r="274" customFormat="false" ht="15" hidden="false" customHeight="false" outlineLevel="0" collapsed="false">
      <c r="A274" s="4" t="str">
        <f aca="false">IF(B274&lt;&gt;"",ROW()-3,"")</f>
        <v/>
      </c>
      <c r="B274" s="5"/>
      <c r="C274" s="4" t="str">
        <f aca="false">IF(B274&lt;&gt;"",TEXT(B274,"DDDD"),"")</f>
        <v/>
      </c>
      <c r="D274" s="4"/>
      <c r="E274" s="4"/>
      <c r="F274" s="4"/>
      <c r="G274" s="4"/>
      <c r="H274" s="4"/>
      <c r="I274" s="4"/>
      <c r="J274" s="4"/>
      <c r="K274" s="6" t="str">
        <f aca="false">IF(AND(B274&lt;&gt;"",I274&lt;&gt;"",F274&lt;&gt;""),IF(E274="Long",(I274-F274)*20,(F274-I274)*20),"")</f>
        <v/>
      </c>
      <c r="L274" s="7" t="str">
        <f aca="false">IF(AND(K274&lt;&gt;"",J274&lt;&gt;""),K274*J274,"")</f>
        <v/>
      </c>
      <c r="M274" s="8" t="str">
        <f aca="false">IF(AND(F274&lt;&gt;"",G274&lt;&gt;"",H274&lt;&gt;""),IF(E274="Long",(H274-F274)/(F274-G274),(F274-H274)/(G274-F274)),"")</f>
        <v/>
      </c>
      <c r="N274" s="8" t="str">
        <f aca="false">IF(AND(F274&lt;&gt;"",G274&lt;&gt;"",I274&lt;&gt;""),IF(E274="Long",(I274-F274)/(F274-G274),(F274-I274)/(G274-F274)),"")</f>
        <v/>
      </c>
      <c r="O274" s="4" t="str">
        <f aca="false">IF(L274="","",IF(L274&gt;0,"Win",IF(L274&lt;0,"Loss","Break Even")))</f>
        <v/>
      </c>
      <c r="P274" s="4"/>
      <c r="Q274" s="4"/>
      <c r="R274" s="4"/>
    </row>
    <row r="275" customFormat="false" ht="15" hidden="false" customHeight="false" outlineLevel="0" collapsed="false">
      <c r="A275" s="9" t="str">
        <f aca="false">IF(B275&lt;&gt;"",ROW()-3,"")</f>
        <v/>
      </c>
      <c r="B275" s="10"/>
      <c r="C275" s="9" t="str">
        <f aca="false">IF(B275&lt;&gt;"",TEXT(B275,"DDDD"),"")</f>
        <v/>
      </c>
      <c r="D275" s="9"/>
      <c r="E275" s="9"/>
      <c r="F275" s="9"/>
      <c r="G275" s="9"/>
      <c r="H275" s="9"/>
      <c r="I275" s="9"/>
      <c r="J275" s="9"/>
      <c r="K275" s="11" t="str">
        <f aca="false">IF(AND(B275&lt;&gt;"",I275&lt;&gt;"",F275&lt;&gt;""),IF(E275="Long",(I275-F275)*20,(F275-I275)*20),"")</f>
        <v/>
      </c>
      <c r="L275" s="12" t="str">
        <f aca="false">IF(AND(K275&lt;&gt;"",J275&lt;&gt;""),K275*J275,"")</f>
        <v/>
      </c>
      <c r="M275" s="13" t="str">
        <f aca="false">IF(AND(F275&lt;&gt;"",G275&lt;&gt;"",H275&lt;&gt;""),IF(E275="Long",(H275-F275)/(F275-G275),(F275-H275)/(G275-F275)),"")</f>
        <v/>
      </c>
      <c r="N275" s="13" t="str">
        <f aca="false">IF(AND(F275&lt;&gt;"",G275&lt;&gt;"",I275&lt;&gt;""),IF(E275="Long",(I275-F275)/(F275-G275),(F275-I275)/(G275-F275)),"")</f>
        <v/>
      </c>
      <c r="O275" s="9" t="str">
        <f aca="false">IF(L275="","",IF(L275&gt;0,"Win",IF(L275&lt;0,"Loss","Break Even")))</f>
        <v/>
      </c>
      <c r="P275" s="9"/>
      <c r="Q275" s="9"/>
      <c r="R275" s="9"/>
    </row>
    <row r="276" customFormat="false" ht="15" hidden="false" customHeight="false" outlineLevel="0" collapsed="false">
      <c r="A276" s="4" t="str">
        <f aca="false">IF(B276&lt;&gt;"",ROW()-3,"")</f>
        <v/>
      </c>
      <c r="B276" s="5"/>
      <c r="C276" s="4" t="str">
        <f aca="false">IF(B276&lt;&gt;"",TEXT(B276,"DDDD"),"")</f>
        <v/>
      </c>
      <c r="D276" s="4"/>
      <c r="E276" s="4"/>
      <c r="F276" s="4"/>
      <c r="G276" s="4"/>
      <c r="H276" s="4"/>
      <c r="I276" s="4"/>
      <c r="J276" s="4"/>
      <c r="K276" s="6" t="str">
        <f aca="false">IF(AND(B276&lt;&gt;"",I276&lt;&gt;"",F276&lt;&gt;""),IF(E276="Long",(I276-F276)*20,(F276-I276)*20),"")</f>
        <v/>
      </c>
      <c r="L276" s="7" t="str">
        <f aca="false">IF(AND(K276&lt;&gt;"",J276&lt;&gt;""),K276*J276,"")</f>
        <v/>
      </c>
      <c r="M276" s="8" t="str">
        <f aca="false">IF(AND(F276&lt;&gt;"",G276&lt;&gt;"",H276&lt;&gt;""),IF(E276="Long",(H276-F276)/(F276-G276),(F276-H276)/(G276-F276)),"")</f>
        <v/>
      </c>
      <c r="N276" s="8" t="str">
        <f aca="false">IF(AND(F276&lt;&gt;"",G276&lt;&gt;"",I276&lt;&gt;""),IF(E276="Long",(I276-F276)/(F276-G276),(F276-I276)/(G276-F276)),"")</f>
        <v/>
      </c>
      <c r="O276" s="4" t="str">
        <f aca="false">IF(L276="","",IF(L276&gt;0,"Win",IF(L276&lt;0,"Loss","Break Even")))</f>
        <v/>
      </c>
      <c r="P276" s="4"/>
      <c r="Q276" s="4"/>
      <c r="R276" s="4"/>
    </row>
    <row r="277" customFormat="false" ht="15" hidden="false" customHeight="false" outlineLevel="0" collapsed="false">
      <c r="A277" s="9" t="str">
        <f aca="false">IF(B277&lt;&gt;"",ROW()-3,"")</f>
        <v/>
      </c>
      <c r="B277" s="10"/>
      <c r="C277" s="9" t="str">
        <f aca="false">IF(B277&lt;&gt;"",TEXT(B277,"DDDD"),"")</f>
        <v/>
      </c>
      <c r="D277" s="9"/>
      <c r="E277" s="9"/>
      <c r="F277" s="9"/>
      <c r="G277" s="9"/>
      <c r="H277" s="9"/>
      <c r="I277" s="9"/>
      <c r="J277" s="9"/>
      <c r="K277" s="11" t="str">
        <f aca="false">IF(AND(B277&lt;&gt;"",I277&lt;&gt;"",F277&lt;&gt;""),IF(E277="Long",(I277-F277)*20,(F277-I277)*20),"")</f>
        <v/>
      </c>
      <c r="L277" s="12" t="str">
        <f aca="false">IF(AND(K277&lt;&gt;"",J277&lt;&gt;""),K277*J277,"")</f>
        <v/>
      </c>
      <c r="M277" s="13" t="str">
        <f aca="false">IF(AND(F277&lt;&gt;"",G277&lt;&gt;"",H277&lt;&gt;""),IF(E277="Long",(H277-F277)/(F277-G277),(F277-H277)/(G277-F277)),"")</f>
        <v/>
      </c>
      <c r="N277" s="13" t="str">
        <f aca="false">IF(AND(F277&lt;&gt;"",G277&lt;&gt;"",I277&lt;&gt;""),IF(E277="Long",(I277-F277)/(F277-G277),(F277-I277)/(G277-F277)),"")</f>
        <v/>
      </c>
      <c r="O277" s="9" t="str">
        <f aca="false">IF(L277="","",IF(L277&gt;0,"Win",IF(L277&lt;0,"Loss","Break Even")))</f>
        <v/>
      </c>
      <c r="P277" s="9"/>
      <c r="Q277" s="9"/>
      <c r="R277" s="9"/>
    </row>
    <row r="278" customFormat="false" ht="15" hidden="false" customHeight="false" outlineLevel="0" collapsed="false">
      <c r="A278" s="4" t="str">
        <f aca="false">IF(B278&lt;&gt;"",ROW()-3,"")</f>
        <v/>
      </c>
      <c r="B278" s="5"/>
      <c r="C278" s="4" t="str">
        <f aca="false">IF(B278&lt;&gt;"",TEXT(B278,"DDDD"),"")</f>
        <v/>
      </c>
      <c r="D278" s="4"/>
      <c r="E278" s="4"/>
      <c r="F278" s="4"/>
      <c r="G278" s="4"/>
      <c r="H278" s="4"/>
      <c r="I278" s="4"/>
      <c r="J278" s="4"/>
      <c r="K278" s="6" t="str">
        <f aca="false">IF(AND(B278&lt;&gt;"",I278&lt;&gt;"",F278&lt;&gt;""),IF(E278="Long",(I278-F278)*20,(F278-I278)*20),"")</f>
        <v/>
      </c>
      <c r="L278" s="7" t="str">
        <f aca="false">IF(AND(K278&lt;&gt;"",J278&lt;&gt;""),K278*J278,"")</f>
        <v/>
      </c>
      <c r="M278" s="8" t="str">
        <f aca="false">IF(AND(F278&lt;&gt;"",G278&lt;&gt;"",H278&lt;&gt;""),IF(E278="Long",(H278-F278)/(F278-G278),(F278-H278)/(G278-F278)),"")</f>
        <v/>
      </c>
      <c r="N278" s="8" t="str">
        <f aca="false">IF(AND(F278&lt;&gt;"",G278&lt;&gt;"",I278&lt;&gt;""),IF(E278="Long",(I278-F278)/(F278-G278),(F278-I278)/(G278-F278)),"")</f>
        <v/>
      </c>
      <c r="O278" s="4" t="str">
        <f aca="false">IF(L278="","",IF(L278&gt;0,"Win",IF(L278&lt;0,"Loss","Break Even")))</f>
        <v/>
      </c>
      <c r="P278" s="4"/>
      <c r="Q278" s="4"/>
      <c r="R278" s="4"/>
    </row>
    <row r="279" customFormat="false" ht="15" hidden="false" customHeight="false" outlineLevel="0" collapsed="false">
      <c r="A279" s="9" t="str">
        <f aca="false">IF(B279&lt;&gt;"",ROW()-3,"")</f>
        <v/>
      </c>
      <c r="B279" s="10"/>
      <c r="C279" s="9" t="str">
        <f aca="false">IF(B279&lt;&gt;"",TEXT(B279,"DDDD"),"")</f>
        <v/>
      </c>
      <c r="D279" s="9"/>
      <c r="E279" s="9"/>
      <c r="F279" s="9"/>
      <c r="G279" s="9"/>
      <c r="H279" s="9"/>
      <c r="I279" s="9"/>
      <c r="J279" s="9"/>
      <c r="K279" s="11" t="str">
        <f aca="false">IF(AND(B279&lt;&gt;"",I279&lt;&gt;"",F279&lt;&gt;""),IF(E279="Long",(I279-F279)*20,(F279-I279)*20),"")</f>
        <v/>
      </c>
      <c r="L279" s="12" t="str">
        <f aca="false">IF(AND(K279&lt;&gt;"",J279&lt;&gt;""),K279*J279,"")</f>
        <v/>
      </c>
      <c r="M279" s="13" t="str">
        <f aca="false">IF(AND(F279&lt;&gt;"",G279&lt;&gt;"",H279&lt;&gt;""),IF(E279="Long",(H279-F279)/(F279-G279),(F279-H279)/(G279-F279)),"")</f>
        <v/>
      </c>
      <c r="N279" s="13" t="str">
        <f aca="false">IF(AND(F279&lt;&gt;"",G279&lt;&gt;"",I279&lt;&gt;""),IF(E279="Long",(I279-F279)/(F279-G279),(F279-I279)/(G279-F279)),"")</f>
        <v/>
      </c>
      <c r="O279" s="9" t="str">
        <f aca="false">IF(L279="","",IF(L279&gt;0,"Win",IF(L279&lt;0,"Loss","Break Even")))</f>
        <v/>
      </c>
      <c r="P279" s="9"/>
      <c r="Q279" s="9"/>
      <c r="R279" s="9"/>
    </row>
    <row r="280" customFormat="false" ht="15" hidden="false" customHeight="false" outlineLevel="0" collapsed="false">
      <c r="A280" s="4" t="str">
        <f aca="false">IF(B280&lt;&gt;"",ROW()-3,"")</f>
        <v/>
      </c>
      <c r="B280" s="5"/>
      <c r="C280" s="4" t="str">
        <f aca="false">IF(B280&lt;&gt;"",TEXT(B280,"DDDD"),"")</f>
        <v/>
      </c>
      <c r="D280" s="4"/>
      <c r="E280" s="4"/>
      <c r="F280" s="4"/>
      <c r="G280" s="4"/>
      <c r="H280" s="4"/>
      <c r="I280" s="4"/>
      <c r="J280" s="4"/>
      <c r="K280" s="6" t="str">
        <f aca="false">IF(AND(B280&lt;&gt;"",I280&lt;&gt;"",F280&lt;&gt;""),IF(E280="Long",(I280-F280)*20,(F280-I280)*20),"")</f>
        <v/>
      </c>
      <c r="L280" s="7" t="str">
        <f aca="false">IF(AND(K280&lt;&gt;"",J280&lt;&gt;""),K280*J280,"")</f>
        <v/>
      </c>
      <c r="M280" s="8" t="str">
        <f aca="false">IF(AND(F280&lt;&gt;"",G280&lt;&gt;"",H280&lt;&gt;""),IF(E280="Long",(H280-F280)/(F280-G280),(F280-H280)/(G280-F280)),"")</f>
        <v/>
      </c>
      <c r="N280" s="8" t="str">
        <f aca="false">IF(AND(F280&lt;&gt;"",G280&lt;&gt;"",I280&lt;&gt;""),IF(E280="Long",(I280-F280)/(F280-G280),(F280-I280)/(G280-F280)),"")</f>
        <v/>
      </c>
      <c r="O280" s="4" t="str">
        <f aca="false">IF(L280="","",IF(L280&gt;0,"Win",IF(L280&lt;0,"Loss","Break Even")))</f>
        <v/>
      </c>
      <c r="P280" s="4"/>
      <c r="Q280" s="4"/>
      <c r="R280" s="4"/>
    </row>
    <row r="281" customFormat="false" ht="15" hidden="false" customHeight="false" outlineLevel="0" collapsed="false">
      <c r="A281" s="9" t="str">
        <f aca="false">IF(B281&lt;&gt;"",ROW()-3,"")</f>
        <v/>
      </c>
      <c r="B281" s="10"/>
      <c r="C281" s="9" t="str">
        <f aca="false">IF(B281&lt;&gt;"",TEXT(B281,"DDDD"),"")</f>
        <v/>
      </c>
      <c r="D281" s="9"/>
      <c r="E281" s="9"/>
      <c r="F281" s="9"/>
      <c r="G281" s="9"/>
      <c r="H281" s="9"/>
      <c r="I281" s="9"/>
      <c r="J281" s="9"/>
      <c r="K281" s="11" t="str">
        <f aca="false">IF(AND(B281&lt;&gt;"",I281&lt;&gt;"",F281&lt;&gt;""),IF(E281="Long",(I281-F281)*20,(F281-I281)*20),"")</f>
        <v/>
      </c>
      <c r="L281" s="12" t="str">
        <f aca="false">IF(AND(K281&lt;&gt;"",J281&lt;&gt;""),K281*J281,"")</f>
        <v/>
      </c>
      <c r="M281" s="13" t="str">
        <f aca="false">IF(AND(F281&lt;&gt;"",G281&lt;&gt;"",H281&lt;&gt;""),IF(E281="Long",(H281-F281)/(F281-G281),(F281-H281)/(G281-F281)),"")</f>
        <v/>
      </c>
      <c r="N281" s="13" t="str">
        <f aca="false">IF(AND(F281&lt;&gt;"",G281&lt;&gt;"",I281&lt;&gt;""),IF(E281="Long",(I281-F281)/(F281-G281),(F281-I281)/(G281-F281)),"")</f>
        <v/>
      </c>
      <c r="O281" s="9" t="str">
        <f aca="false">IF(L281="","",IF(L281&gt;0,"Win",IF(L281&lt;0,"Loss","Break Even")))</f>
        <v/>
      </c>
      <c r="P281" s="9"/>
      <c r="Q281" s="9"/>
      <c r="R281" s="9"/>
    </row>
    <row r="282" customFormat="false" ht="15" hidden="false" customHeight="false" outlineLevel="0" collapsed="false">
      <c r="A282" s="4" t="str">
        <f aca="false">IF(B282&lt;&gt;"",ROW()-3,"")</f>
        <v/>
      </c>
      <c r="B282" s="5"/>
      <c r="C282" s="4" t="str">
        <f aca="false">IF(B282&lt;&gt;"",TEXT(B282,"DDDD"),"")</f>
        <v/>
      </c>
      <c r="D282" s="4"/>
      <c r="E282" s="4"/>
      <c r="F282" s="4"/>
      <c r="G282" s="4"/>
      <c r="H282" s="4"/>
      <c r="I282" s="4"/>
      <c r="J282" s="4"/>
      <c r="K282" s="6" t="str">
        <f aca="false">IF(AND(B282&lt;&gt;"",I282&lt;&gt;"",F282&lt;&gt;""),IF(E282="Long",(I282-F282)*20,(F282-I282)*20),"")</f>
        <v/>
      </c>
      <c r="L282" s="7" t="str">
        <f aca="false">IF(AND(K282&lt;&gt;"",J282&lt;&gt;""),K282*J282,"")</f>
        <v/>
      </c>
      <c r="M282" s="8" t="str">
        <f aca="false">IF(AND(F282&lt;&gt;"",G282&lt;&gt;"",H282&lt;&gt;""),IF(E282="Long",(H282-F282)/(F282-G282),(F282-H282)/(G282-F282)),"")</f>
        <v/>
      </c>
      <c r="N282" s="8" t="str">
        <f aca="false">IF(AND(F282&lt;&gt;"",G282&lt;&gt;"",I282&lt;&gt;""),IF(E282="Long",(I282-F282)/(F282-G282),(F282-I282)/(G282-F282)),"")</f>
        <v/>
      </c>
      <c r="O282" s="4" t="str">
        <f aca="false">IF(L282="","",IF(L282&gt;0,"Win",IF(L282&lt;0,"Loss","Break Even")))</f>
        <v/>
      </c>
      <c r="P282" s="4"/>
      <c r="Q282" s="4"/>
      <c r="R282" s="4"/>
    </row>
    <row r="283" customFormat="false" ht="15" hidden="false" customHeight="false" outlineLevel="0" collapsed="false">
      <c r="A283" s="9" t="str">
        <f aca="false">IF(B283&lt;&gt;"",ROW()-3,"")</f>
        <v/>
      </c>
      <c r="B283" s="10"/>
      <c r="C283" s="9" t="str">
        <f aca="false">IF(B283&lt;&gt;"",TEXT(B283,"DDDD"),"")</f>
        <v/>
      </c>
      <c r="D283" s="9"/>
      <c r="E283" s="9"/>
      <c r="F283" s="9"/>
      <c r="G283" s="9"/>
      <c r="H283" s="9"/>
      <c r="I283" s="9"/>
      <c r="J283" s="9"/>
      <c r="K283" s="11" t="str">
        <f aca="false">IF(AND(B283&lt;&gt;"",I283&lt;&gt;"",F283&lt;&gt;""),IF(E283="Long",(I283-F283)*20,(F283-I283)*20),"")</f>
        <v/>
      </c>
      <c r="L283" s="12" t="str">
        <f aca="false">IF(AND(K283&lt;&gt;"",J283&lt;&gt;""),K283*J283,"")</f>
        <v/>
      </c>
      <c r="M283" s="13" t="str">
        <f aca="false">IF(AND(F283&lt;&gt;"",G283&lt;&gt;"",H283&lt;&gt;""),IF(E283="Long",(H283-F283)/(F283-G283),(F283-H283)/(G283-F283)),"")</f>
        <v/>
      </c>
      <c r="N283" s="13" t="str">
        <f aca="false">IF(AND(F283&lt;&gt;"",G283&lt;&gt;"",I283&lt;&gt;""),IF(E283="Long",(I283-F283)/(F283-G283),(F283-I283)/(G283-F283)),"")</f>
        <v/>
      </c>
      <c r="O283" s="9" t="str">
        <f aca="false">IF(L283="","",IF(L283&gt;0,"Win",IF(L283&lt;0,"Loss","Break Even")))</f>
        <v/>
      </c>
      <c r="P283" s="9"/>
      <c r="Q283" s="9"/>
      <c r="R283" s="9"/>
    </row>
    <row r="284" customFormat="false" ht="15" hidden="false" customHeight="false" outlineLevel="0" collapsed="false">
      <c r="A284" s="4" t="str">
        <f aca="false">IF(B284&lt;&gt;"",ROW()-3,"")</f>
        <v/>
      </c>
      <c r="B284" s="5"/>
      <c r="C284" s="4" t="str">
        <f aca="false">IF(B284&lt;&gt;"",TEXT(B284,"DDDD"),"")</f>
        <v/>
      </c>
      <c r="D284" s="4"/>
      <c r="E284" s="4"/>
      <c r="F284" s="4"/>
      <c r="G284" s="4"/>
      <c r="H284" s="4"/>
      <c r="I284" s="4"/>
      <c r="J284" s="4"/>
      <c r="K284" s="6" t="str">
        <f aca="false">IF(AND(B284&lt;&gt;"",I284&lt;&gt;"",F284&lt;&gt;""),IF(E284="Long",(I284-F284)*20,(F284-I284)*20),"")</f>
        <v/>
      </c>
      <c r="L284" s="7" t="str">
        <f aca="false">IF(AND(K284&lt;&gt;"",J284&lt;&gt;""),K284*J284,"")</f>
        <v/>
      </c>
      <c r="M284" s="8" t="str">
        <f aca="false">IF(AND(F284&lt;&gt;"",G284&lt;&gt;"",H284&lt;&gt;""),IF(E284="Long",(H284-F284)/(F284-G284),(F284-H284)/(G284-F284)),"")</f>
        <v/>
      </c>
      <c r="N284" s="8" t="str">
        <f aca="false">IF(AND(F284&lt;&gt;"",G284&lt;&gt;"",I284&lt;&gt;""),IF(E284="Long",(I284-F284)/(F284-G284),(F284-I284)/(G284-F284)),"")</f>
        <v/>
      </c>
      <c r="O284" s="4" t="str">
        <f aca="false">IF(L284="","",IF(L284&gt;0,"Win",IF(L284&lt;0,"Loss","Break Even")))</f>
        <v/>
      </c>
      <c r="P284" s="4"/>
      <c r="Q284" s="4"/>
      <c r="R284" s="4"/>
    </row>
    <row r="285" customFormat="false" ht="15" hidden="false" customHeight="false" outlineLevel="0" collapsed="false">
      <c r="A285" s="9" t="str">
        <f aca="false">IF(B285&lt;&gt;"",ROW()-3,"")</f>
        <v/>
      </c>
      <c r="B285" s="10"/>
      <c r="C285" s="9" t="str">
        <f aca="false">IF(B285&lt;&gt;"",TEXT(B285,"DDDD"),"")</f>
        <v/>
      </c>
      <c r="D285" s="9"/>
      <c r="E285" s="9"/>
      <c r="F285" s="9"/>
      <c r="G285" s="9"/>
      <c r="H285" s="9"/>
      <c r="I285" s="9"/>
      <c r="J285" s="9"/>
      <c r="K285" s="11" t="str">
        <f aca="false">IF(AND(B285&lt;&gt;"",I285&lt;&gt;"",F285&lt;&gt;""),IF(E285="Long",(I285-F285)*20,(F285-I285)*20),"")</f>
        <v/>
      </c>
      <c r="L285" s="12" t="str">
        <f aca="false">IF(AND(K285&lt;&gt;"",J285&lt;&gt;""),K285*J285,"")</f>
        <v/>
      </c>
      <c r="M285" s="13" t="str">
        <f aca="false">IF(AND(F285&lt;&gt;"",G285&lt;&gt;"",H285&lt;&gt;""),IF(E285="Long",(H285-F285)/(F285-G285),(F285-H285)/(G285-F285)),"")</f>
        <v/>
      </c>
      <c r="N285" s="13" t="str">
        <f aca="false">IF(AND(F285&lt;&gt;"",G285&lt;&gt;"",I285&lt;&gt;""),IF(E285="Long",(I285-F285)/(F285-G285),(F285-I285)/(G285-F285)),"")</f>
        <v/>
      </c>
      <c r="O285" s="9" t="str">
        <f aca="false">IF(L285="","",IF(L285&gt;0,"Win",IF(L285&lt;0,"Loss","Break Even")))</f>
        <v/>
      </c>
      <c r="P285" s="9"/>
      <c r="Q285" s="9"/>
      <c r="R285" s="9"/>
    </row>
    <row r="286" customFormat="false" ht="15" hidden="false" customHeight="false" outlineLevel="0" collapsed="false">
      <c r="A286" s="4" t="str">
        <f aca="false">IF(B286&lt;&gt;"",ROW()-3,"")</f>
        <v/>
      </c>
      <c r="B286" s="5"/>
      <c r="C286" s="4" t="str">
        <f aca="false">IF(B286&lt;&gt;"",TEXT(B286,"DDDD"),"")</f>
        <v/>
      </c>
      <c r="D286" s="4"/>
      <c r="E286" s="4"/>
      <c r="F286" s="4"/>
      <c r="G286" s="4"/>
      <c r="H286" s="4"/>
      <c r="I286" s="4"/>
      <c r="J286" s="4"/>
      <c r="K286" s="6" t="str">
        <f aca="false">IF(AND(B286&lt;&gt;"",I286&lt;&gt;"",F286&lt;&gt;""),IF(E286="Long",(I286-F286)*20,(F286-I286)*20),"")</f>
        <v/>
      </c>
      <c r="L286" s="7" t="str">
        <f aca="false">IF(AND(K286&lt;&gt;"",J286&lt;&gt;""),K286*J286,"")</f>
        <v/>
      </c>
      <c r="M286" s="8" t="str">
        <f aca="false">IF(AND(F286&lt;&gt;"",G286&lt;&gt;"",H286&lt;&gt;""),IF(E286="Long",(H286-F286)/(F286-G286),(F286-H286)/(G286-F286)),"")</f>
        <v/>
      </c>
      <c r="N286" s="8" t="str">
        <f aca="false">IF(AND(F286&lt;&gt;"",G286&lt;&gt;"",I286&lt;&gt;""),IF(E286="Long",(I286-F286)/(F286-G286),(F286-I286)/(G286-F286)),"")</f>
        <v/>
      </c>
      <c r="O286" s="4" t="str">
        <f aca="false">IF(L286="","",IF(L286&gt;0,"Win",IF(L286&lt;0,"Loss","Break Even")))</f>
        <v/>
      </c>
      <c r="P286" s="4"/>
      <c r="Q286" s="4"/>
      <c r="R286" s="4"/>
    </row>
    <row r="287" customFormat="false" ht="15" hidden="false" customHeight="false" outlineLevel="0" collapsed="false">
      <c r="A287" s="9" t="str">
        <f aca="false">IF(B287&lt;&gt;"",ROW()-3,"")</f>
        <v/>
      </c>
      <c r="B287" s="10"/>
      <c r="C287" s="9" t="str">
        <f aca="false">IF(B287&lt;&gt;"",TEXT(B287,"DDDD"),"")</f>
        <v/>
      </c>
      <c r="D287" s="9"/>
      <c r="E287" s="9"/>
      <c r="F287" s="9"/>
      <c r="G287" s="9"/>
      <c r="H287" s="9"/>
      <c r="I287" s="9"/>
      <c r="J287" s="9"/>
      <c r="K287" s="11" t="str">
        <f aca="false">IF(AND(B287&lt;&gt;"",I287&lt;&gt;"",F287&lt;&gt;""),IF(E287="Long",(I287-F287)*20,(F287-I287)*20),"")</f>
        <v/>
      </c>
      <c r="L287" s="12" t="str">
        <f aca="false">IF(AND(K287&lt;&gt;"",J287&lt;&gt;""),K287*J287,"")</f>
        <v/>
      </c>
      <c r="M287" s="13" t="str">
        <f aca="false">IF(AND(F287&lt;&gt;"",G287&lt;&gt;"",H287&lt;&gt;""),IF(E287="Long",(H287-F287)/(F287-G287),(F287-H287)/(G287-F287)),"")</f>
        <v/>
      </c>
      <c r="N287" s="13" t="str">
        <f aca="false">IF(AND(F287&lt;&gt;"",G287&lt;&gt;"",I287&lt;&gt;""),IF(E287="Long",(I287-F287)/(F287-G287),(F287-I287)/(G287-F287)),"")</f>
        <v/>
      </c>
      <c r="O287" s="9" t="str">
        <f aca="false">IF(L287="","",IF(L287&gt;0,"Win",IF(L287&lt;0,"Loss","Break Even")))</f>
        <v/>
      </c>
      <c r="P287" s="9"/>
      <c r="Q287" s="9"/>
      <c r="R287" s="9"/>
    </row>
    <row r="288" customFormat="false" ht="15" hidden="false" customHeight="false" outlineLevel="0" collapsed="false">
      <c r="A288" s="4" t="str">
        <f aca="false">IF(B288&lt;&gt;"",ROW()-3,"")</f>
        <v/>
      </c>
      <c r="B288" s="5"/>
      <c r="C288" s="4" t="str">
        <f aca="false">IF(B288&lt;&gt;"",TEXT(B288,"DDDD"),"")</f>
        <v/>
      </c>
      <c r="D288" s="4"/>
      <c r="E288" s="4"/>
      <c r="F288" s="4"/>
      <c r="G288" s="4"/>
      <c r="H288" s="4"/>
      <c r="I288" s="4"/>
      <c r="J288" s="4"/>
      <c r="K288" s="6" t="str">
        <f aca="false">IF(AND(B288&lt;&gt;"",I288&lt;&gt;"",F288&lt;&gt;""),IF(E288="Long",(I288-F288)*20,(F288-I288)*20),"")</f>
        <v/>
      </c>
      <c r="L288" s="7" t="str">
        <f aca="false">IF(AND(K288&lt;&gt;"",J288&lt;&gt;""),K288*J288,"")</f>
        <v/>
      </c>
      <c r="M288" s="8" t="str">
        <f aca="false">IF(AND(F288&lt;&gt;"",G288&lt;&gt;"",H288&lt;&gt;""),IF(E288="Long",(H288-F288)/(F288-G288),(F288-H288)/(G288-F288)),"")</f>
        <v/>
      </c>
      <c r="N288" s="8" t="str">
        <f aca="false">IF(AND(F288&lt;&gt;"",G288&lt;&gt;"",I288&lt;&gt;""),IF(E288="Long",(I288-F288)/(F288-G288),(F288-I288)/(G288-F288)),"")</f>
        <v/>
      </c>
      <c r="O288" s="4" t="str">
        <f aca="false">IF(L288="","",IF(L288&gt;0,"Win",IF(L288&lt;0,"Loss","Break Even")))</f>
        <v/>
      </c>
      <c r="P288" s="4"/>
      <c r="Q288" s="4"/>
      <c r="R288" s="4"/>
    </row>
    <row r="289" customFormat="false" ht="15" hidden="false" customHeight="false" outlineLevel="0" collapsed="false">
      <c r="A289" s="9" t="str">
        <f aca="false">IF(B289&lt;&gt;"",ROW()-3,"")</f>
        <v/>
      </c>
      <c r="B289" s="10"/>
      <c r="C289" s="9" t="str">
        <f aca="false">IF(B289&lt;&gt;"",TEXT(B289,"DDDD"),"")</f>
        <v/>
      </c>
      <c r="D289" s="9"/>
      <c r="E289" s="9"/>
      <c r="F289" s="9"/>
      <c r="G289" s="9"/>
      <c r="H289" s="9"/>
      <c r="I289" s="9"/>
      <c r="J289" s="9"/>
      <c r="K289" s="11" t="str">
        <f aca="false">IF(AND(B289&lt;&gt;"",I289&lt;&gt;"",F289&lt;&gt;""),IF(E289="Long",(I289-F289)*20,(F289-I289)*20),"")</f>
        <v/>
      </c>
      <c r="L289" s="12" t="str">
        <f aca="false">IF(AND(K289&lt;&gt;"",J289&lt;&gt;""),K289*J289,"")</f>
        <v/>
      </c>
      <c r="M289" s="13" t="str">
        <f aca="false">IF(AND(F289&lt;&gt;"",G289&lt;&gt;"",H289&lt;&gt;""),IF(E289="Long",(H289-F289)/(F289-G289),(F289-H289)/(G289-F289)),"")</f>
        <v/>
      </c>
      <c r="N289" s="13" t="str">
        <f aca="false">IF(AND(F289&lt;&gt;"",G289&lt;&gt;"",I289&lt;&gt;""),IF(E289="Long",(I289-F289)/(F289-G289),(F289-I289)/(G289-F289)),"")</f>
        <v/>
      </c>
      <c r="O289" s="9" t="str">
        <f aca="false">IF(L289="","",IF(L289&gt;0,"Win",IF(L289&lt;0,"Loss","Break Even")))</f>
        <v/>
      </c>
      <c r="P289" s="9"/>
      <c r="Q289" s="9"/>
      <c r="R289" s="9"/>
    </row>
    <row r="290" customFormat="false" ht="15" hidden="false" customHeight="false" outlineLevel="0" collapsed="false">
      <c r="A290" s="4" t="str">
        <f aca="false">IF(B290&lt;&gt;"",ROW()-3,"")</f>
        <v/>
      </c>
      <c r="B290" s="5"/>
      <c r="C290" s="4" t="str">
        <f aca="false">IF(B290&lt;&gt;"",TEXT(B290,"DDDD"),"")</f>
        <v/>
      </c>
      <c r="D290" s="4"/>
      <c r="E290" s="4"/>
      <c r="F290" s="4"/>
      <c r="G290" s="4"/>
      <c r="H290" s="4"/>
      <c r="I290" s="4"/>
      <c r="J290" s="4"/>
      <c r="K290" s="6" t="str">
        <f aca="false">IF(AND(B290&lt;&gt;"",I290&lt;&gt;"",F290&lt;&gt;""),IF(E290="Long",(I290-F290)*20,(F290-I290)*20),"")</f>
        <v/>
      </c>
      <c r="L290" s="7" t="str">
        <f aca="false">IF(AND(K290&lt;&gt;"",J290&lt;&gt;""),K290*J290,"")</f>
        <v/>
      </c>
      <c r="M290" s="8" t="str">
        <f aca="false">IF(AND(F290&lt;&gt;"",G290&lt;&gt;"",H290&lt;&gt;""),IF(E290="Long",(H290-F290)/(F290-G290),(F290-H290)/(G290-F290)),"")</f>
        <v/>
      </c>
      <c r="N290" s="8" t="str">
        <f aca="false">IF(AND(F290&lt;&gt;"",G290&lt;&gt;"",I290&lt;&gt;""),IF(E290="Long",(I290-F290)/(F290-G290),(F290-I290)/(G290-F290)),"")</f>
        <v/>
      </c>
      <c r="O290" s="4" t="str">
        <f aca="false">IF(L290="","",IF(L290&gt;0,"Win",IF(L290&lt;0,"Loss","Break Even")))</f>
        <v/>
      </c>
      <c r="P290" s="4"/>
      <c r="Q290" s="4"/>
      <c r="R290" s="4"/>
    </row>
    <row r="291" customFormat="false" ht="15" hidden="false" customHeight="false" outlineLevel="0" collapsed="false">
      <c r="A291" s="9" t="str">
        <f aca="false">IF(B291&lt;&gt;"",ROW()-3,"")</f>
        <v/>
      </c>
      <c r="B291" s="10"/>
      <c r="C291" s="9" t="str">
        <f aca="false">IF(B291&lt;&gt;"",TEXT(B291,"DDDD"),"")</f>
        <v/>
      </c>
      <c r="D291" s="9"/>
      <c r="E291" s="9"/>
      <c r="F291" s="9"/>
      <c r="G291" s="9"/>
      <c r="H291" s="9"/>
      <c r="I291" s="9"/>
      <c r="J291" s="9"/>
      <c r="K291" s="11" t="str">
        <f aca="false">IF(AND(B291&lt;&gt;"",I291&lt;&gt;"",F291&lt;&gt;""),IF(E291="Long",(I291-F291)*20,(F291-I291)*20),"")</f>
        <v/>
      </c>
      <c r="L291" s="12" t="str">
        <f aca="false">IF(AND(K291&lt;&gt;"",J291&lt;&gt;""),K291*J291,"")</f>
        <v/>
      </c>
      <c r="M291" s="13" t="str">
        <f aca="false">IF(AND(F291&lt;&gt;"",G291&lt;&gt;"",H291&lt;&gt;""),IF(E291="Long",(H291-F291)/(F291-G291),(F291-H291)/(G291-F291)),"")</f>
        <v/>
      </c>
      <c r="N291" s="13" t="str">
        <f aca="false">IF(AND(F291&lt;&gt;"",G291&lt;&gt;"",I291&lt;&gt;""),IF(E291="Long",(I291-F291)/(F291-G291),(F291-I291)/(G291-F291)),"")</f>
        <v/>
      </c>
      <c r="O291" s="9" t="str">
        <f aca="false">IF(L291="","",IF(L291&gt;0,"Win",IF(L291&lt;0,"Loss","Break Even")))</f>
        <v/>
      </c>
      <c r="P291" s="9"/>
      <c r="Q291" s="9"/>
      <c r="R291" s="9"/>
    </row>
    <row r="292" customFormat="false" ht="15" hidden="false" customHeight="false" outlineLevel="0" collapsed="false">
      <c r="A292" s="4" t="str">
        <f aca="false">IF(B292&lt;&gt;"",ROW()-3,"")</f>
        <v/>
      </c>
      <c r="B292" s="5"/>
      <c r="C292" s="4" t="str">
        <f aca="false">IF(B292&lt;&gt;"",TEXT(B292,"DDDD"),"")</f>
        <v/>
      </c>
      <c r="D292" s="4"/>
      <c r="E292" s="4"/>
      <c r="F292" s="4"/>
      <c r="G292" s="4"/>
      <c r="H292" s="4"/>
      <c r="I292" s="4"/>
      <c r="J292" s="4"/>
      <c r="K292" s="6" t="str">
        <f aca="false">IF(AND(B292&lt;&gt;"",I292&lt;&gt;"",F292&lt;&gt;""),IF(E292="Long",(I292-F292)*20,(F292-I292)*20),"")</f>
        <v/>
      </c>
      <c r="L292" s="7" t="str">
        <f aca="false">IF(AND(K292&lt;&gt;"",J292&lt;&gt;""),K292*J292,"")</f>
        <v/>
      </c>
      <c r="M292" s="8" t="str">
        <f aca="false">IF(AND(F292&lt;&gt;"",G292&lt;&gt;"",H292&lt;&gt;""),IF(E292="Long",(H292-F292)/(F292-G292),(F292-H292)/(G292-F292)),"")</f>
        <v/>
      </c>
      <c r="N292" s="8" t="str">
        <f aca="false">IF(AND(F292&lt;&gt;"",G292&lt;&gt;"",I292&lt;&gt;""),IF(E292="Long",(I292-F292)/(F292-G292),(F292-I292)/(G292-F292)),"")</f>
        <v/>
      </c>
      <c r="O292" s="4" t="str">
        <f aca="false">IF(L292="","",IF(L292&gt;0,"Win",IF(L292&lt;0,"Loss","Break Even")))</f>
        <v/>
      </c>
      <c r="P292" s="4"/>
      <c r="Q292" s="4"/>
      <c r="R292" s="4"/>
    </row>
    <row r="293" customFormat="false" ht="15" hidden="false" customHeight="false" outlineLevel="0" collapsed="false">
      <c r="A293" s="9" t="str">
        <f aca="false">IF(B293&lt;&gt;"",ROW()-3,"")</f>
        <v/>
      </c>
      <c r="B293" s="10"/>
      <c r="C293" s="9" t="str">
        <f aca="false">IF(B293&lt;&gt;"",TEXT(B293,"DDDD"),"")</f>
        <v/>
      </c>
      <c r="D293" s="9"/>
      <c r="E293" s="9"/>
      <c r="F293" s="9"/>
      <c r="G293" s="9"/>
      <c r="H293" s="9"/>
      <c r="I293" s="9"/>
      <c r="J293" s="9"/>
      <c r="K293" s="11" t="str">
        <f aca="false">IF(AND(B293&lt;&gt;"",I293&lt;&gt;"",F293&lt;&gt;""),IF(E293="Long",(I293-F293)*20,(F293-I293)*20),"")</f>
        <v/>
      </c>
      <c r="L293" s="12" t="str">
        <f aca="false">IF(AND(K293&lt;&gt;"",J293&lt;&gt;""),K293*J293,"")</f>
        <v/>
      </c>
      <c r="M293" s="13" t="str">
        <f aca="false">IF(AND(F293&lt;&gt;"",G293&lt;&gt;"",H293&lt;&gt;""),IF(E293="Long",(H293-F293)/(F293-G293),(F293-H293)/(G293-F293)),"")</f>
        <v/>
      </c>
      <c r="N293" s="13" t="str">
        <f aca="false">IF(AND(F293&lt;&gt;"",G293&lt;&gt;"",I293&lt;&gt;""),IF(E293="Long",(I293-F293)/(F293-G293),(F293-I293)/(G293-F293)),"")</f>
        <v/>
      </c>
      <c r="O293" s="9" t="str">
        <f aca="false">IF(L293="","",IF(L293&gt;0,"Win",IF(L293&lt;0,"Loss","Break Even")))</f>
        <v/>
      </c>
      <c r="P293" s="9"/>
      <c r="Q293" s="9"/>
      <c r="R293" s="9"/>
    </row>
    <row r="294" customFormat="false" ht="15" hidden="false" customHeight="false" outlineLevel="0" collapsed="false">
      <c r="A294" s="4" t="str">
        <f aca="false">IF(B294&lt;&gt;"",ROW()-3,"")</f>
        <v/>
      </c>
      <c r="B294" s="5"/>
      <c r="C294" s="4" t="str">
        <f aca="false">IF(B294&lt;&gt;"",TEXT(B294,"DDDD"),"")</f>
        <v/>
      </c>
      <c r="D294" s="4"/>
      <c r="E294" s="4"/>
      <c r="F294" s="4"/>
      <c r="G294" s="4"/>
      <c r="H294" s="4"/>
      <c r="I294" s="4"/>
      <c r="J294" s="4"/>
      <c r="K294" s="6" t="str">
        <f aca="false">IF(AND(B294&lt;&gt;"",I294&lt;&gt;"",F294&lt;&gt;""),IF(E294="Long",(I294-F294)*20,(F294-I294)*20),"")</f>
        <v/>
      </c>
      <c r="L294" s="7" t="str">
        <f aca="false">IF(AND(K294&lt;&gt;"",J294&lt;&gt;""),K294*J294,"")</f>
        <v/>
      </c>
      <c r="M294" s="8" t="str">
        <f aca="false">IF(AND(F294&lt;&gt;"",G294&lt;&gt;"",H294&lt;&gt;""),IF(E294="Long",(H294-F294)/(F294-G294),(F294-H294)/(G294-F294)),"")</f>
        <v/>
      </c>
      <c r="N294" s="8" t="str">
        <f aca="false">IF(AND(F294&lt;&gt;"",G294&lt;&gt;"",I294&lt;&gt;""),IF(E294="Long",(I294-F294)/(F294-G294),(F294-I294)/(G294-F294)),"")</f>
        <v/>
      </c>
      <c r="O294" s="4" t="str">
        <f aca="false">IF(L294="","",IF(L294&gt;0,"Win",IF(L294&lt;0,"Loss","Break Even")))</f>
        <v/>
      </c>
      <c r="P294" s="4"/>
      <c r="Q294" s="4"/>
      <c r="R294" s="4"/>
    </row>
    <row r="295" customFormat="false" ht="15" hidden="false" customHeight="false" outlineLevel="0" collapsed="false">
      <c r="A295" s="9" t="str">
        <f aca="false">IF(B295&lt;&gt;"",ROW()-3,"")</f>
        <v/>
      </c>
      <c r="B295" s="10"/>
      <c r="C295" s="9" t="str">
        <f aca="false">IF(B295&lt;&gt;"",TEXT(B295,"DDDD"),"")</f>
        <v/>
      </c>
      <c r="D295" s="9"/>
      <c r="E295" s="9"/>
      <c r="F295" s="9"/>
      <c r="G295" s="9"/>
      <c r="H295" s="9"/>
      <c r="I295" s="9"/>
      <c r="J295" s="9"/>
      <c r="K295" s="11" t="str">
        <f aca="false">IF(AND(B295&lt;&gt;"",I295&lt;&gt;"",F295&lt;&gt;""),IF(E295="Long",(I295-F295)*20,(F295-I295)*20),"")</f>
        <v/>
      </c>
      <c r="L295" s="12" t="str">
        <f aca="false">IF(AND(K295&lt;&gt;"",J295&lt;&gt;""),K295*J295,"")</f>
        <v/>
      </c>
      <c r="M295" s="13" t="str">
        <f aca="false">IF(AND(F295&lt;&gt;"",G295&lt;&gt;"",H295&lt;&gt;""),IF(E295="Long",(H295-F295)/(F295-G295),(F295-H295)/(G295-F295)),"")</f>
        <v/>
      </c>
      <c r="N295" s="13" t="str">
        <f aca="false">IF(AND(F295&lt;&gt;"",G295&lt;&gt;"",I295&lt;&gt;""),IF(E295="Long",(I295-F295)/(F295-G295),(F295-I295)/(G295-F295)),"")</f>
        <v/>
      </c>
      <c r="O295" s="9" t="str">
        <f aca="false">IF(L295="","",IF(L295&gt;0,"Win",IF(L295&lt;0,"Loss","Break Even")))</f>
        <v/>
      </c>
      <c r="P295" s="9"/>
      <c r="Q295" s="9"/>
      <c r="R295" s="9"/>
    </row>
    <row r="296" customFormat="false" ht="15" hidden="false" customHeight="false" outlineLevel="0" collapsed="false">
      <c r="A296" s="4" t="str">
        <f aca="false">IF(B296&lt;&gt;"",ROW()-3,"")</f>
        <v/>
      </c>
      <c r="B296" s="5"/>
      <c r="C296" s="4" t="str">
        <f aca="false">IF(B296&lt;&gt;"",TEXT(B296,"DDDD"),"")</f>
        <v/>
      </c>
      <c r="D296" s="4"/>
      <c r="E296" s="4"/>
      <c r="F296" s="4"/>
      <c r="G296" s="4"/>
      <c r="H296" s="4"/>
      <c r="I296" s="4"/>
      <c r="J296" s="4"/>
      <c r="K296" s="6" t="str">
        <f aca="false">IF(AND(B296&lt;&gt;"",I296&lt;&gt;"",F296&lt;&gt;""),IF(E296="Long",(I296-F296)*20,(F296-I296)*20),"")</f>
        <v/>
      </c>
      <c r="L296" s="7" t="str">
        <f aca="false">IF(AND(K296&lt;&gt;"",J296&lt;&gt;""),K296*J296,"")</f>
        <v/>
      </c>
      <c r="M296" s="8" t="str">
        <f aca="false">IF(AND(F296&lt;&gt;"",G296&lt;&gt;"",H296&lt;&gt;""),IF(E296="Long",(H296-F296)/(F296-G296),(F296-H296)/(G296-F296)),"")</f>
        <v/>
      </c>
      <c r="N296" s="8" t="str">
        <f aca="false">IF(AND(F296&lt;&gt;"",G296&lt;&gt;"",I296&lt;&gt;""),IF(E296="Long",(I296-F296)/(F296-G296),(F296-I296)/(G296-F296)),"")</f>
        <v/>
      </c>
      <c r="O296" s="4" t="str">
        <f aca="false">IF(L296="","",IF(L296&gt;0,"Win",IF(L296&lt;0,"Loss","Break Even")))</f>
        <v/>
      </c>
      <c r="P296" s="4"/>
      <c r="Q296" s="4"/>
      <c r="R296" s="4"/>
    </row>
    <row r="297" customFormat="false" ht="15" hidden="false" customHeight="false" outlineLevel="0" collapsed="false">
      <c r="A297" s="9" t="str">
        <f aca="false">IF(B297&lt;&gt;"",ROW()-3,"")</f>
        <v/>
      </c>
      <c r="B297" s="10"/>
      <c r="C297" s="9" t="str">
        <f aca="false">IF(B297&lt;&gt;"",TEXT(B297,"DDDD"),"")</f>
        <v/>
      </c>
      <c r="D297" s="9"/>
      <c r="E297" s="9"/>
      <c r="F297" s="9"/>
      <c r="G297" s="9"/>
      <c r="H297" s="9"/>
      <c r="I297" s="9"/>
      <c r="J297" s="9"/>
      <c r="K297" s="11" t="str">
        <f aca="false">IF(AND(B297&lt;&gt;"",I297&lt;&gt;"",F297&lt;&gt;""),IF(E297="Long",(I297-F297)*20,(F297-I297)*20),"")</f>
        <v/>
      </c>
      <c r="L297" s="12" t="str">
        <f aca="false">IF(AND(K297&lt;&gt;"",J297&lt;&gt;""),K297*J297,"")</f>
        <v/>
      </c>
      <c r="M297" s="13" t="str">
        <f aca="false">IF(AND(F297&lt;&gt;"",G297&lt;&gt;"",H297&lt;&gt;""),IF(E297="Long",(H297-F297)/(F297-G297),(F297-H297)/(G297-F297)),"")</f>
        <v/>
      </c>
      <c r="N297" s="13" t="str">
        <f aca="false">IF(AND(F297&lt;&gt;"",G297&lt;&gt;"",I297&lt;&gt;""),IF(E297="Long",(I297-F297)/(F297-G297),(F297-I297)/(G297-F297)),"")</f>
        <v/>
      </c>
      <c r="O297" s="9" t="str">
        <f aca="false">IF(L297="","",IF(L297&gt;0,"Win",IF(L297&lt;0,"Loss","Break Even")))</f>
        <v/>
      </c>
      <c r="P297" s="9"/>
      <c r="Q297" s="9"/>
      <c r="R297" s="9"/>
    </row>
    <row r="298" customFormat="false" ht="15" hidden="false" customHeight="false" outlineLevel="0" collapsed="false">
      <c r="A298" s="4" t="str">
        <f aca="false">IF(B298&lt;&gt;"",ROW()-3,"")</f>
        <v/>
      </c>
      <c r="B298" s="5"/>
      <c r="C298" s="4" t="str">
        <f aca="false">IF(B298&lt;&gt;"",TEXT(B298,"DDDD"),"")</f>
        <v/>
      </c>
      <c r="D298" s="4"/>
      <c r="E298" s="4"/>
      <c r="F298" s="4"/>
      <c r="G298" s="4"/>
      <c r="H298" s="4"/>
      <c r="I298" s="4"/>
      <c r="J298" s="4"/>
      <c r="K298" s="6" t="str">
        <f aca="false">IF(AND(B298&lt;&gt;"",I298&lt;&gt;"",F298&lt;&gt;""),IF(E298="Long",(I298-F298)*20,(F298-I298)*20),"")</f>
        <v/>
      </c>
      <c r="L298" s="7" t="str">
        <f aca="false">IF(AND(K298&lt;&gt;"",J298&lt;&gt;""),K298*J298,"")</f>
        <v/>
      </c>
      <c r="M298" s="8" t="str">
        <f aca="false">IF(AND(F298&lt;&gt;"",G298&lt;&gt;"",H298&lt;&gt;""),IF(E298="Long",(H298-F298)/(F298-G298),(F298-H298)/(G298-F298)),"")</f>
        <v/>
      </c>
      <c r="N298" s="8" t="str">
        <f aca="false">IF(AND(F298&lt;&gt;"",G298&lt;&gt;"",I298&lt;&gt;""),IF(E298="Long",(I298-F298)/(F298-G298),(F298-I298)/(G298-F298)),"")</f>
        <v/>
      </c>
      <c r="O298" s="4" t="str">
        <f aca="false">IF(L298="","",IF(L298&gt;0,"Win",IF(L298&lt;0,"Loss","Break Even")))</f>
        <v/>
      </c>
      <c r="P298" s="4"/>
      <c r="Q298" s="4"/>
      <c r="R298" s="4"/>
    </row>
    <row r="299" customFormat="false" ht="15" hidden="false" customHeight="false" outlineLevel="0" collapsed="false">
      <c r="A299" s="9" t="str">
        <f aca="false">IF(B299&lt;&gt;"",ROW()-3,"")</f>
        <v/>
      </c>
      <c r="B299" s="10"/>
      <c r="C299" s="9" t="str">
        <f aca="false">IF(B299&lt;&gt;"",TEXT(B299,"DDDD"),"")</f>
        <v/>
      </c>
      <c r="D299" s="9"/>
      <c r="E299" s="9"/>
      <c r="F299" s="9"/>
      <c r="G299" s="9"/>
      <c r="H299" s="9"/>
      <c r="I299" s="9"/>
      <c r="J299" s="9"/>
      <c r="K299" s="11" t="str">
        <f aca="false">IF(AND(B299&lt;&gt;"",I299&lt;&gt;"",F299&lt;&gt;""),IF(E299="Long",(I299-F299)*20,(F299-I299)*20),"")</f>
        <v/>
      </c>
      <c r="L299" s="12" t="str">
        <f aca="false">IF(AND(K299&lt;&gt;"",J299&lt;&gt;""),K299*J299,"")</f>
        <v/>
      </c>
      <c r="M299" s="13" t="str">
        <f aca="false">IF(AND(F299&lt;&gt;"",G299&lt;&gt;"",H299&lt;&gt;""),IF(E299="Long",(H299-F299)/(F299-G299),(F299-H299)/(G299-F299)),"")</f>
        <v/>
      </c>
      <c r="N299" s="13" t="str">
        <f aca="false">IF(AND(F299&lt;&gt;"",G299&lt;&gt;"",I299&lt;&gt;""),IF(E299="Long",(I299-F299)/(F299-G299),(F299-I299)/(G299-F299)),"")</f>
        <v/>
      </c>
      <c r="O299" s="9" t="str">
        <f aca="false">IF(L299="","",IF(L299&gt;0,"Win",IF(L299&lt;0,"Loss","Break Even")))</f>
        <v/>
      </c>
      <c r="P299" s="9"/>
      <c r="Q299" s="9"/>
      <c r="R299" s="9"/>
    </row>
    <row r="300" customFormat="false" ht="15" hidden="false" customHeight="false" outlineLevel="0" collapsed="false">
      <c r="A300" s="4" t="str">
        <f aca="false">IF(B300&lt;&gt;"",ROW()-3,"")</f>
        <v/>
      </c>
      <c r="B300" s="5"/>
      <c r="C300" s="4" t="str">
        <f aca="false">IF(B300&lt;&gt;"",TEXT(B300,"DDDD"),"")</f>
        <v/>
      </c>
      <c r="D300" s="4"/>
      <c r="E300" s="4"/>
      <c r="F300" s="4"/>
      <c r="G300" s="4"/>
      <c r="H300" s="4"/>
      <c r="I300" s="4"/>
      <c r="J300" s="4"/>
      <c r="K300" s="6" t="str">
        <f aca="false">IF(AND(B300&lt;&gt;"",I300&lt;&gt;"",F300&lt;&gt;""),IF(E300="Long",(I300-F300)*20,(F300-I300)*20),"")</f>
        <v/>
      </c>
      <c r="L300" s="7" t="str">
        <f aca="false">IF(AND(K300&lt;&gt;"",J300&lt;&gt;""),K300*J300,"")</f>
        <v/>
      </c>
      <c r="M300" s="8" t="str">
        <f aca="false">IF(AND(F300&lt;&gt;"",G300&lt;&gt;"",H300&lt;&gt;""),IF(E300="Long",(H300-F300)/(F300-G300),(F300-H300)/(G300-F300)),"")</f>
        <v/>
      </c>
      <c r="N300" s="8" t="str">
        <f aca="false">IF(AND(F300&lt;&gt;"",G300&lt;&gt;"",I300&lt;&gt;""),IF(E300="Long",(I300-F300)/(F300-G300),(F300-I300)/(G300-F300)),"")</f>
        <v/>
      </c>
      <c r="O300" s="4" t="str">
        <f aca="false">IF(L300="","",IF(L300&gt;0,"Win",IF(L300&lt;0,"Loss","Break Even")))</f>
        <v/>
      </c>
      <c r="P300" s="4"/>
      <c r="Q300" s="4"/>
      <c r="R300" s="4"/>
    </row>
    <row r="301" customFormat="false" ht="15" hidden="false" customHeight="false" outlineLevel="0" collapsed="false">
      <c r="A301" s="9" t="str">
        <f aca="false">IF(B301&lt;&gt;"",ROW()-3,"")</f>
        <v/>
      </c>
      <c r="B301" s="10"/>
      <c r="C301" s="9" t="str">
        <f aca="false">IF(B301&lt;&gt;"",TEXT(B301,"DDDD"),"")</f>
        <v/>
      </c>
      <c r="D301" s="9"/>
      <c r="E301" s="9"/>
      <c r="F301" s="9"/>
      <c r="G301" s="9"/>
      <c r="H301" s="9"/>
      <c r="I301" s="9"/>
      <c r="J301" s="9"/>
      <c r="K301" s="11" t="str">
        <f aca="false">IF(AND(B301&lt;&gt;"",I301&lt;&gt;"",F301&lt;&gt;""),IF(E301="Long",(I301-F301)*20,(F301-I301)*20),"")</f>
        <v/>
      </c>
      <c r="L301" s="12" t="str">
        <f aca="false">IF(AND(K301&lt;&gt;"",J301&lt;&gt;""),K301*J301,"")</f>
        <v/>
      </c>
      <c r="M301" s="13" t="str">
        <f aca="false">IF(AND(F301&lt;&gt;"",G301&lt;&gt;"",H301&lt;&gt;""),IF(E301="Long",(H301-F301)/(F301-G301),(F301-H301)/(G301-F301)),"")</f>
        <v/>
      </c>
      <c r="N301" s="13" t="str">
        <f aca="false">IF(AND(F301&lt;&gt;"",G301&lt;&gt;"",I301&lt;&gt;""),IF(E301="Long",(I301-F301)/(F301-G301),(F301-I301)/(G301-F301)),"")</f>
        <v/>
      </c>
      <c r="O301" s="9" t="str">
        <f aca="false">IF(L301="","",IF(L301&gt;0,"Win",IF(L301&lt;0,"Loss","Break Even")))</f>
        <v/>
      </c>
      <c r="P301" s="9"/>
      <c r="Q301" s="9"/>
      <c r="R301" s="9"/>
    </row>
    <row r="302" customFormat="false" ht="15" hidden="false" customHeight="false" outlineLevel="0" collapsed="false">
      <c r="A302" s="4" t="str">
        <f aca="false">IF(B302&lt;&gt;"",ROW()-3,"")</f>
        <v/>
      </c>
      <c r="B302" s="5"/>
      <c r="C302" s="4" t="str">
        <f aca="false">IF(B302&lt;&gt;"",TEXT(B302,"DDDD"),"")</f>
        <v/>
      </c>
      <c r="D302" s="4"/>
      <c r="E302" s="4"/>
      <c r="F302" s="4"/>
      <c r="G302" s="4"/>
      <c r="H302" s="4"/>
      <c r="I302" s="4"/>
      <c r="J302" s="4"/>
      <c r="K302" s="6" t="str">
        <f aca="false">IF(AND(B302&lt;&gt;"",I302&lt;&gt;"",F302&lt;&gt;""),IF(E302="Long",(I302-F302)*20,(F302-I302)*20),"")</f>
        <v/>
      </c>
      <c r="L302" s="7" t="str">
        <f aca="false">IF(AND(K302&lt;&gt;"",J302&lt;&gt;""),K302*J302,"")</f>
        <v/>
      </c>
      <c r="M302" s="8" t="str">
        <f aca="false">IF(AND(F302&lt;&gt;"",G302&lt;&gt;"",H302&lt;&gt;""),IF(E302="Long",(H302-F302)/(F302-G302),(F302-H302)/(G302-F302)),"")</f>
        <v/>
      </c>
      <c r="N302" s="8" t="str">
        <f aca="false">IF(AND(F302&lt;&gt;"",G302&lt;&gt;"",I302&lt;&gt;""),IF(E302="Long",(I302-F302)/(F302-G302),(F302-I302)/(G302-F302)),"")</f>
        <v/>
      </c>
      <c r="O302" s="4" t="str">
        <f aca="false">IF(L302="","",IF(L302&gt;0,"Win",IF(L302&lt;0,"Loss","Break Even")))</f>
        <v/>
      </c>
      <c r="P302" s="4"/>
      <c r="Q302" s="4"/>
      <c r="R302" s="4"/>
    </row>
    <row r="303" customFormat="false" ht="15" hidden="false" customHeight="false" outlineLevel="0" collapsed="false">
      <c r="A303" s="9" t="str">
        <f aca="false">IF(B303&lt;&gt;"",ROW()-3,"")</f>
        <v/>
      </c>
      <c r="B303" s="10"/>
      <c r="C303" s="9" t="str">
        <f aca="false">IF(B303&lt;&gt;"",TEXT(B303,"DDDD"),"")</f>
        <v/>
      </c>
      <c r="D303" s="9"/>
      <c r="E303" s="9"/>
      <c r="F303" s="9"/>
      <c r="G303" s="9"/>
      <c r="H303" s="9"/>
      <c r="I303" s="9"/>
      <c r="J303" s="9"/>
      <c r="K303" s="11" t="str">
        <f aca="false">IF(AND(B303&lt;&gt;"",I303&lt;&gt;"",F303&lt;&gt;""),IF(E303="Long",(I303-F303)*20,(F303-I303)*20),"")</f>
        <v/>
      </c>
      <c r="L303" s="12" t="str">
        <f aca="false">IF(AND(K303&lt;&gt;"",J303&lt;&gt;""),K303*J303,"")</f>
        <v/>
      </c>
      <c r="M303" s="13" t="str">
        <f aca="false">IF(AND(F303&lt;&gt;"",G303&lt;&gt;"",H303&lt;&gt;""),IF(E303="Long",(H303-F303)/(F303-G303),(F303-H303)/(G303-F303)),"")</f>
        <v/>
      </c>
      <c r="N303" s="13" t="str">
        <f aca="false">IF(AND(F303&lt;&gt;"",G303&lt;&gt;"",I303&lt;&gt;""),IF(E303="Long",(I303-F303)/(F303-G303),(F303-I303)/(G303-F303)),"")</f>
        <v/>
      </c>
      <c r="O303" s="9" t="str">
        <f aca="false">IF(L303="","",IF(L303&gt;0,"Win",IF(L303&lt;0,"Loss","Break Even")))</f>
        <v/>
      </c>
      <c r="P303" s="9"/>
      <c r="Q303" s="9"/>
      <c r="R303" s="9"/>
    </row>
    <row r="304" customFormat="false" ht="15" hidden="false" customHeight="false" outlineLevel="0" collapsed="false">
      <c r="A304" s="4" t="str">
        <f aca="false">IF(B304&lt;&gt;"",ROW()-3,"")</f>
        <v/>
      </c>
      <c r="B304" s="5"/>
      <c r="C304" s="4" t="str">
        <f aca="false">IF(B304&lt;&gt;"",TEXT(B304,"DDDD"),"")</f>
        <v/>
      </c>
      <c r="D304" s="4"/>
      <c r="E304" s="4"/>
      <c r="F304" s="4"/>
      <c r="G304" s="4"/>
      <c r="H304" s="4"/>
      <c r="I304" s="4"/>
      <c r="J304" s="4"/>
      <c r="K304" s="6" t="str">
        <f aca="false">IF(AND(B304&lt;&gt;"",I304&lt;&gt;"",F304&lt;&gt;""),IF(E304="Long",(I304-F304)*20,(F304-I304)*20),"")</f>
        <v/>
      </c>
      <c r="L304" s="7" t="str">
        <f aca="false">IF(AND(K304&lt;&gt;"",J304&lt;&gt;""),K304*J304,"")</f>
        <v/>
      </c>
      <c r="M304" s="8" t="str">
        <f aca="false">IF(AND(F304&lt;&gt;"",G304&lt;&gt;"",H304&lt;&gt;""),IF(E304="Long",(H304-F304)/(F304-G304),(F304-H304)/(G304-F304)),"")</f>
        <v/>
      </c>
      <c r="N304" s="8" t="str">
        <f aca="false">IF(AND(F304&lt;&gt;"",G304&lt;&gt;"",I304&lt;&gt;""),IF(E304="Long",(I304-F304)/(F304-G304),(F304-I304)/(G304-F304)),"")</f>
        <v/>
      </c>
      <c r="O304" s="4" t="str">
        <f aca="false">IF(L304="","",IF(L304&gt;0,"Win",IF(L304&lt;0,"Loss","Break Even")))</f>
        <v/>
      </c>
      <c r="P304" s="4"/>
      <c r="Q304" s="4"/>
      <c r="R304" s="4"/>
    </row>
    <row r="305" customFormat="false" ht="15" hidden="false" customHeight="false" outlineLevel="0" collapsed="false">
      <c r="A305" s="9" t="str">
        <f aca="false">IF(B305&lt;&gt;"",ROW()-3,"")</f>
        <v/>
      </c>
      <c r="B305" s="10"/>
      <c r="C305" s="9" t="str">
        <f aca="false">IF(B305&lt;&gt;"",TEXT(B305,"DDDD"),"")</f>
        <v/>
      </c>
      <c r="D305" s="9"/>
      <c r="E305" s="9"/>
      <c r="F305" s="9"/>
      <c r="G305" s="9"/>
      <c r="H305" s="9"/>
      <c r="I305" s="9"/>
      <c r="J305" s="9"/>
      <c r="K305" s="11" t="str">
        <f aca="false">IF(AND(B305&lt;&gt;"",I305&lt;&gt;"",F305&lt;&gt;""),IF(E305="Long",(I305-F305)*20,(F305-I305)*20),"")</f>
        <v/>
      </c>
      <c r="L305" s="12" t="str">
        <f aca="false">IF(AND(K305&lt;&gt;"",J305&lt;&gt;""),K305*J305,"")</f>
        <v/>
      </c>
      <c r="M305" s="13" t="str">
        <f aca="false">IF(AND(F305&lt;&gt;"",G305&lt;&gt;"",H305&lt;&gt;""),IF(E305="Long",(H305-F305)/(F305-G305),(F305-H305)/(G305-F305)),"")</f>
        <v/>
      </c>
      <c r="N305" s="13" t="str">
        <f aca="false">IF(AND(F305&lt;&gt;"",G305&lt;&gt;"",I305&lt;&gt;""),IF(E305="Long",(I305-F305)/(F305-G305),(F305-I305)/(G305-F305)),"")</f>
        <v/>
      </c>
      <c r="O305" s="9" t="str">
        <f aca="false">IF(L305="","",IF(L305&gt;0,"Win",IF(L305&lt;0,"Loss","Break Even")))</f>
        <v/>
      </c>
      <c r="P305" s="9"/>
      <c r="Q305" s="9"/>
      <c r="R305" s="9"/>
    </row>
    <row r="306" customFormat="false" ht="15" hidden="false" customHeight="false" outlineLevel="0" collapsed="false">
      <c r="A306" s="4" t="str">
        <f aca="false">IF(B306&lt;&gt;"",ROW()-3,"")</f>
        <v/>
      </c>
      <c r="B306" s="5"/>
      <c r="C306" s="4" t="str">
        <f aca="false">IF(B306&lt;&gt;"",TEXT(B306,"DDDD"),"")</f>
        <v/>
      </c>
      <c r="D306" s="4"/>
      <c r="E306" s="4"/>
      <c r="F306" s="4"/>
      <c r="G306" s="4"/>
      <c r="H306" s="4"/>
      <c r="I306" s="4"/>
      <c r="J306" s="4"/>
      <c r="K306" s="6" t="str">
        <f aca="false">IF(AND(B306&lt;&gt;"",I306&lt;&gt;"",F306&lt;&gt;""),IF(E306="Long",(I306-F306)*20,(F306-I306)*20),"")</f>
        <v/>
      </c>
      <c r="L306" s="7" t="str">
        <f aca="false">IF(AND(K306&lt;&gt;"",J306&lt;&gt;""),K306*J306,"")</f>
        <v/>
      </c>
      <c r="M306" s="8" t="str">
        <f aca="false">IF(AND(F306&lt;&gt;"",G306&lt;&gt;"",H306&lt;&gt;""),IF(E306="Long",(H306-F306)/(F306-G306),(F306-H306)/(G306-F306)),"")</f>
        <v/>
      </c>
      <c r="N306" s="8" t="str">
        <f aca="false">IF(AND(F306&lt;&gt;"",G306&lt;&gt;"",I306&lt;&gt;""),IF(E306="Long",(I306-F306)/(F306-G306),(F306-I306)/(G306-F306)),"")</f>
        <v/>
      </c>
      <c r="O306" s="4" t="str">
        <f aca="false">IF(L306="","",IF(L306&gt;0,"Win",IF(L306&lt;0,"Loss","Break Even")))</f>
        <v/>
      </c>
      <c r="P306" s="4"/>
      <c r="Q306" s="4"/>
      <c r="R306" s="4"/>
    </row>
    <row r="307" customFormat="false" ht="15" hidden="false" customHeight="false" outlineLevel="0" collapsed="false">
      <c r="A307" s="9" t="str">
        <f aca="false">IF(B307&lt;&gt;"",ROW()-3,"")</f>
        <v/>
      </c>
      <c r="B307" s="10"/>
      <c r="C307" s="9" t="str">
        <f aca="false">IF(B307&lt;&gt;"",TEXT(B307,"DDDD"),"")</f>
        <v/>
      </c>
      <c r="D307" s="9"/>
      <c r="E307" s="9"/>
      <c r="F307" s="9"/>
      <c r="G307" s="9"/>
      <c r="H307" s="9"/>
      <c r="I307" s="9"/>
      <c r="J307" s="9"/>
      <c r="K307" s="11" t="str">
        <f aca="false">IF(AND(B307&lt;&gt;"",I307&lt;&gt;"",F307&lt;&gt;""),IF(E307="Long",(I307-F307)*20,(F307-I307)*20),"")</f>
        <v/>
      </c>
      <c r="L307" s="12" t="str">
        <f aca="false">IF(AND(K307&lt;&gt;"",J307&lt;&gt;""),K307*J307,"")</f>
        <v/>
      </c>
      <c r="M307" s="13" t="str">
        <f aca="false">IF(AND(F307&lt;&gt;"",G307&lt;&gt;"",H307&lt;&gt;""),IF(E307="Long",(H307-F307)/(F307-G307),(F307-H307)/(G307-F307)),"")</f>
        <v/>
      </c>
      <c r="N307" s="13" t="str">
        <f aca="false">IF(AND(F307&lt;&gt;"",G307&lt;&gt;"",I307&lt;&gt;""),IF(E307="Long",(I307-F307)/(F307-G307),(F307-I307)/(G307-F307)),"")</f>
        <v/>
      </c>
      <c r="O307" s="9" t="str">
        <f aca="false">IF(L307="","",IF(L307&gt;0,"Win",IF(L307&lt;0,"Loss","Break Even")))</f>
        <v/>
      </c>
      <c r="P307" s="9"/>
      <c r="Q307" s="9"/>
      <c r="R307" s="9"/>
    </row>
    <row r="308" customFormat="false" ht="15" hidden="false" customHeight="false" outlineLevel="0" collapsed="false">
      <c r="A308" s="4" t="str">
        <f aca="false">IF(B308&lt;&gt;"",ROW()-3,"")</f>
        <v/>
      </c>
      <c r="B308" s="5"/>
      <c r="C308" s="4" t="str">
        <f aca="false">IF(B308&lt;&gt;"",TEXT(B308,"DDDD"),"")</f>
        <v/>
      </c>
      <c r="D308" s="4"/>
      <c r="E308" s="4"/>
      <c r="F308" s="4"/>
      <c r="G308" s="4"/>
      <c r="H308" s="4"/>
      <c r="I308" s="4"/>
      <c r="J308" s="4"/>
      <c r="K308" s="6" t="str">
        <f aca="false">IF(AND(B308&lt;&gt;"",I308&lt;&gt;"",F308&lt;&gt;""),IF(E308="Long",(I308-F308)*20,(F308-I308)*20),"")</f>
        <v/>
      </c>
      <c r="L308" s="7" t="str">
        <f aca="false">IF(AND(K308&lt;&gt;"",J308&lt;&gt;""),K308*J308,"")</f>
        <v/>
      </c>
      <c r="M308" s="8" t="str">
        <f aca="false">IF(AND(F308&lt;&gt;"",G308&lt;&gt;"",H308&lt;&gt;""),IF(E308="Long",(H308-F308)/(F308-G308),(F308-H308)/(G308-F308)),"")</f>
        <v/>
      </c>
      <c r="N308" s="8" t="str">
        <f aca="false">IF(AND(F308&lt;&gt;"",G308&lt;&gt;"",I308&lt;&gt;""),IF(E308="Long",(I308-F308)/(F308-G308),(F308-I308)/(G308-F308)),"")</f>
        <v/>
      </c>
      <c r="O308" s="4" t="str">
        <f aca="false">IF(L308="","",IF(L308&gt;0,"Win",IF(L308&lt;0,"Loss","Break Even")))</f>
        <v/>
      </c>
      <c r="P308" s="4"/>
      <c r="Q308" s="4"/>
      <c r="R308" s="4"/>
    </row>
    <row r="309" customFormat="false" ht="15" hidden="false" customHeight="false" outlineLevel="0" collapsed="false">
      <c r="A309" s="9" t="str">
        <f aca="false">IF(B309&lt;&gt;"",ROW()-3,"")</f>
        <v/>
      </c>
      <c r="B309" s="10"/>
      <c r="C309" s="9" t="str">
        <f aca="false">IF(B309&lt;&gt;"",TEXT(B309,"DDDD"),"")</f>
        <v/>
      </c>
      <c r="D309" s="9"/>
      <c r="E309" s="9"/>
      <c r="F309" s="9"/>
      <c r="G309" s="9"/>
      <c r="H309" s="9"/>
      <c r="I309" s="9"/>
      <c r="J309" s="9"/>
      <c r="K309" s="11" t="str">
        <f aca="false">IF(AND(B309&lt;&gt;"",I309&lt;&gt;"",F309&lt;&gt;""),IF(E309="Long",(I309-F309)*20,(F309-I309)*20),"")</f>
        <v/>
      </c>
      <c r="L309" s="12" t="str">
        <f aca="false">IF(AND(K309&lt;&gt;"",J309&lt;&gt;""),K309*J309,"")</f>
        <v/>
      </c>
      <c r="M309" s="13" t="str">
        <f aca="false">IF(AND(F309&lt;&gt;"",G309&lt;&gt;"",H309&lt;&gt;""),IF(E309="Long",(H309-F309)/(F309-G309),(F309-H309)/(G309-F309)),"")</f>
        <v/>
      </c>
      <c r="N309" s="13" t="str">
        <f aca="false">IF(AND(F309&lt;&gt;"",G309&lt;&gt;"",I309&lt;&gt;""),IF(E309="Long",(I309-F309)/(F309-G309),(F309-I309)/(G309-F309)),"")</f>
        <v/>
      </c>
      <c r="O309" s="9" t="str">
        <f aca="false">IF(L309="","",IF(L309&gt;0,"Win",IF(L309&lt;0,"Loss","Break Even")))</f>
        <v/>
      </c>
      <c r="P309" s="9"/>
      <c r="Q309" s="9"/>
      <c r="R309" s="9"/>
    </row>
    <row r="310" customFormat="false" ht="15" hidden="false" customHeight="false" outlineLevel="0" collapsed="false">
      <c r="A310" s="4" t="str">
        <f aca="false">IF(B310&lt;&gt;"",ROW()-3,"")</f>
        <v/>
      </c>
      <c r="B310" s="5"/>
      <c r="C310" s="4" t="str">
        <f aca="false">IF(B310&lt;&gt;"",TEXT(B310,"DDDD"),"")</f>
        <v/>
      </c>
      <c r="D310" s="4"/>
      <c r="E310" s="4"/>
      <c r="F310" s="4"/>
      <c r="G310" s="4"/>
      <c r="H310" s="4"/>
      <c r="I310" s="4"/>
      <c r="J310" s="4"/>
      <c r="K310" s="6" t="str">
        <f aca="false">IF(AND(B310&lt;&gt;"",I310&lt;&gt;"",F310&lt;&gt;""),IF(E310="Long",(I310-F310)*20,(F310-I310)*20),"")</f>
        <v/>
      </c>
      <c r="L310" s="7" t="str">
        <f aca="false">IF(AND(K310&lt;&gt;"",J310&lt;&gt;""),K310*J310,"")</f>
        <v/>
      </c>
      <c r="M310" s="8" t="str">
        <f aca="false">IF(AND(F310&lt;&gt;"",G310&lt;&gt;"",H310&lt;&gt;""),IF(E310="Long",(H310-F310)/(F310-G310),(F310-H310)/(G310-F310)),"")</f>
        <v/>
      </c>
      <c r="N310" s="8" t="str">
        <f aca="false">IF(AND(F310&lt;&gt;"",G310&lt;&gt;"",I310&lt;&gt;""),IF(E310="Long",(I310-F310)/(F310-G310),(F310-I310)/(G310-F310)),"")</f>
        <v/>
      </c>
      <c r="O310" s="4" t="str">
        <f aca="false">IF(L310="","",IF(L310&gt;0,"Win",IF(L310&lt;0,"Loss","Break Even")))</f>
        <v/>
      </c>
      <c r="P310" s="4"/>
      <c r="Q310" s="4"/>
      <c r="R310" s="4"/>
    </row>
    <row r="311" customFormat="false" ht="15" hidden="false" customHeight="false" outlineLevel="0" collapsed="false">
      <c r="A311" s="9" t="str">
        <f aca="false">IF(B311&lt;&gt;"",ROW()-3,"")</f>
        <v/>
      </c>
      <c r="B311" s="10"/>
      <c r="C311" s="9" t="str">
        <f aca="false">IF(B311&lt;&gt;"",TEXT(B311,"DDDD"),"")</f>
        <v/>
      </c>
      <c r="D311" s="9"/>
      <c r="E311" s="9"/>
      <c r="F311" s="9"/>
      <c r="G311" s="9"/>
      <c r="H311" s="9"/>
      <c r="I311" s="9"/>
      <c r="J311" s="9"/>
      <c r="K311" s="11" t="str">
        <f aca="false">IF(AND(B311&lt;&gt;"",I311&lt;&gt;"",F311&lt;&gt;""),IF(E311="Long",(I311-F311)*20,(F311-I311)*20),"")</f>
        <v/>
      </c>
      <c r="L311" s="12" t="str">
        <f aca="false">IF(AND(K311&lt;&gt;"",J311&lt;&gt;""),K311*J311,"")</f>
        <v/>
      </c>
      <c r="M311" s="13" t="str">
        <f aca="false">IF(AND(F311&lt;&gt;"",G311&lt;&gt;"",H311&lt;&gt;""),IF(E311="Long",(H311-F311)/(F311-G311),(F311-H311)/(G311-F311)),"")</f>
        <v/>
      </c>
      <c r="N311" s="13" t="str">
        <f aca="false">IF(AND(F311&lt;&gt;"",G311&lt;&gt;"",I311&lt;&gt;""),IF(E311="Long",(I311-F311)/(F311-G311),(F311-I311)/(G311-F311)),"")</f>
        <v/>
      </c>
      <c r="O311" s="9" t="str">
        <f aca="false">IF(L311="","",IF(L311&gt;0,"Win",IF(L311&lt;0,"Loss","Break Even")))</f>
        <v/>
      </c>
      <c r="P311" s="9"/>
      <c r="Q311" s="9"/>
      <c r="R311" s="9"/>
    </row>
    <row r="312" customFormat="false" ht="15" hidden="false" customHeight="false" outlineLevel="0" collapsed="false">
      <c r="A312" s="4" t="str">
        <f aca="false">IF(B312&lt;&gt;"",ROW()-3,"")</f>
        <v/>
      </c>
      <c r="B312" s="5"/>
      <c r="C312" s="4" t="str">
        <f aca="false">IF(B312&lt;&gt;"",TEXT(B312,"DDDD"),"")</f>
        <v/>
      </c>
      <c r="D312" s="4"/>
      <c r="E312" s="4"/>
      <c r="F312" s="4"/>
      <c r="G312" s="4"/>
      <c r="H312" s="4"/>
      <c r="I312" s="4"/>
      <c r="J312" s="4"/>
      <c r="K312" s="6" t="str">
        <f aca="false">IF(AND(B312&lt;&gt;"",I312&lt;&gt;"",F312&lt;&gt;""),IF(E312="Long",(I312-F312)*20,(F312-I312)*20),"")</f>
        <v/>
      </c>
      <c r="L312" s="7" t="str">
        <f aca="false">IF(AND(K312&lt;&gt;"",J312&lt;&gt;""),K312*J312,"")</f>
        <v/>
      </c>
      <c r="M312" s="8" t="str">
        <f aca="false">IF(AND(F312&lt;&gt;"",G312&lt;&gt;"",H312&lt;&gt;""),IF(E312="Long",(H312-F312)/(F312-G312),(F312-H312)/(G312-F312)),"")</f>
        <v/>
      </c>
      <c r="N312" s="8" t="str">
        <f aca="false">IF(AND(F312&lt;&gt;"",G312&lt;&gt;"",I312&lt;&gt;""),IF(E312="Long",(I312-F312)/(F312-G312),(F312-I312)/(G312-F312)),"")</f>
        <v/>
      </c>
      <c r="O312" s="4" t="str">
        <f aca="false">IF(L312="","",IF(L312&gt;0,"Win",IF(L312&lt;0,"Loss","Break Even")))</f>
        <v/>
      </c>
      <c r="P312" s="4"/>
      <c r="Q312" s="4"/>
      <c r="R312" s="4"/>
    </row>
    <row r="313" customFormat="false" ht="15" hidden="false" customHeight="false" outlineLevel="0" collapsed="false">
      <c r="A313" s="9" t="str">
        <f aca="false">IF(B313&lt;&gt;"",ROW()-3,"")</f>
        <v/>
      </c>
      <c r="B313" s="10"/>
      <c r="C313" s="9" t="str">
        <f aca="false">IF(B313&lt;&gt;"",TEXT(B313,"DDDD"),"")</f>
        <v/>
      </c>
      <c r="D313" s="9"/>
      <c r="E313" s="9"/>
      <c r="F313" s="9"/>
      <c r="G313" s="9"/>
      <c r="H313" s="9"/>
      <c r="I313" s="9"/>
      <c r="J313" s="9"/>
      <c r="K313" s="11" t="str">
        <f aca="false">IF(AND(B313&lt;&gt;"",I313&lt;&gt;"",F313&lt;&gt;""),IF(E313="Long",(I313-F313)*20,(F313-I313)*20),"")</f>
        <v/>
      </c>
      <c r="L313" s="12" t="str">
        <f aca="false">IF(AND(K313&lt;&gt;"",J313&lt;&gt;""),K313*J313,"")</f>
        <v/>
      </c>
      <c r="M313" s="13" t="str">
        <f aca="false">IF(AND(F313&lt;&gt;"",G313&lt;&gt;"",H313&lt;&gt;""),IF(E313="Long",(H313-F313)/(F313-G313),(F313-H313)/(G313-F313)),"")</f>
        <v/>
      </c>
      <c r="N313" s="13" t="str">
        <f aca="false">IF(AND(F313&lt;&gt;"",G313&lt;&gt;"",I313&lt;&gt;""),IF(E313="Long",(I313-F313)/(F313-G313),(F313-I313)/(G313-F313)),"")</f>
        <v/>
      </c>
      <c r="O313" s="9" t="str">
        <f aca="false">IF(L313="","",IF(L313&gt;0,"Win",IF(L313&lt;0,"Loss","Break Even")))</f>
        <v/>
      </c>
      <c r="P313" s="9"/>
      <c r="Q313" s="9"/>
      <c r="R313" s="9"/>
    </row>
    <row r="314" customFormat="false" ht="15" hidden="false" customHeight="false" outlineLevel="0" collapsed="false">
      <c r="A314" s="4" t="str">
        <f aca="false">IF(B314&lt;&gt;"",ROW()-3,"")</f>
        <v/>
      </c>
      <c r="B314" s="5"/>
      <c r="C314" s="4" t="str">
        <f aca="false">IF(B314&lt;&gt;"",TEXT(B314,"DDDD"),"")</f>
        <v/>
      </c>
      <c r="D314" s="4"/>
      <c r="E314" s="4"/>
      <c r="F314" s="4"/>
      <c r="G314" s="4"/>
      <c r="H314" s="4"/>
      <c r="I314" s="4"/>
      <c r="J314" s="4"/>
      <c r="K314" s="6" t="str">
        <f aca="false">IF(AND(B314&lt;&gt;"",I314&lt;&gt;"",F314&lt;&gt;""),IF(E314="Long",(I314-F314)*20,(F314-I314)*20),"")</f>
        <v/>
      </c>
      <c r="L314" s="7" t="str">
        <f aca="false">IF(AND(K314&lt;&gt;"",J314&lt;&gt;""),K314*J314,"")</f>
        <v/>
      </c>
      <c r="M314" s="8" t="str">
        <f aca="false">IF(AND(F314&lt;&gt;"",G314&lt;&gt;"",H314&lt;&gt;""),IF(E314="Long",(H314-F314)/(F314-G314),(F314-H314)/(G314-F314)),"")</f>
        <v/>
      </c>
      <c r="N314" s="8" t="str">
        <f aca="false">IF(AND(F314&lt;&gt;"",G314&lt;&gt;"",I314&lt;&gt;""),IF(E314="Long",(I314-F314)/(F314-G314),(F314-I314)/(G314-F314)),"")</f>
        <v/>
      </c>
      <c r="O314" s="4" t="str">
        <f aca="false">IF(L314="","",IF(L314&gt;0,"Win",IF(L314&lt;0,"Loss","Break Even")))</f>
        <v/>
      </c>
      <c r="P314" s="4"/>
      <c r="Q314" s="4"/>
      <c r="R314" s="4"/>
    </row>
    <row r="315" customFormat="false" ht="15" hidden="false" customHeight="false" outlineLevel="0" collapsed="false">
      <c r="A315" s="9" t="str">
        <f aca="false">IF(B315&lt;&gt;"",ROW()-3,"")</f>
        <v/>
      </c>
      <c r="B315" s="10"/>
      <c r="C315" s="9" t="str">
        <f aca="false">IF(B315&lt;&gt;"",TEXT(B315,"DDDD"),"")</f>
        <v/>
      </c>
      <c r="D315" s="9"/>
      <c r="E315" s="9"/>
      <c r="F315" s="9"/>
      <c r="G315" s="9"/>
      <c r="H315" s="9"/>
      <c r="I315" s="9"/>
      <c r="J315" s="9"/>
      <c r="K315" s="11" t="str">
        <f aca="false">IF(AND(B315&lt;&gt;"",I315&lt;&gt;"",F315&lt;&gt;""),IF(E315="Long",(I315-F315)*20,(F315-I315)*20),"")</f>
        <v/>
      </c>
      <c r="L315" s="12" t="str">
        <f aca="false">IF(AND(K315&lt;&gt;"",J315&lt;&gt;""),K315*J315,"")</f>
        <v/>
      </c>
      <c r="M315" s="13" t="str">
        <f aca="false">IF(AND(F315&lt;&gt;"",G315&lt;&gt;"",H315&lt;&gt;""),IF(E315="Long",(H315-F315)/(F315-G315),(F315-H315)/(G315-F315)),"")</f>
        <v/>
      </c>
      <c r="N315" s="13" t="str">
        <f aca="false">IF(AND(F315&lt;&gt;"",G315&lt;&gt;"",I315&lt;&gt;""),IF(E315="Long",(I315-F315)/(F315-G315),(F315-I315)/(G315-F315)),"")</f>
        <v/>
      </c>
      <c r="O315" s="9" t="str">
        <f aca="false">IF(L315="","",IF(L315&gt;0,"Win",IF(L315&lt;0,"Loss","Break Even")))</f>
        <v/>
      </c>
      <c r="P315" s="9"/>
      <c r="Q315" s="9"/>
      <c r="R315" s="9"/>
    </row>
    <row r="316" customFormat="false" ht="15" hidden="false" customHeight="false" outlineLevel="0" collapsed="false">
      <c r="A316" s="4" t="str">
        <f aca="false">IF(B316&lt;&gt;"",ROW()-3,"")</f>
        <v/>
      </c>
      <c r="B316" s="5"/>
      <c r="C316" s="4" t="str">
        <f aca="false">IF(B316&lt;&gt;"",TEXT(B316,"DDDD"),"")</f>
        <v/>
      </c>
      <c r="D316" s="4"/>
      <c r="E316" s="4"/>
      <c r="F316" s="4"/>
      <c r="G316" s="4"/>
      <c r="H316" s="4"/>
      <c r="I316" s="4"/>
      <c r="J316" s="4"/>
      <c r="K316" s="6" t="str">
        <f aca="false">IF(AND(B316&lt;&gt;"",I316&lt;&gt;"",F316&lt;&gt;""),IF(E316="Long",(I316-F316)*20,(F316-I316)*20),"")</f>
        <v/>
      </c>
      <c r="L316" s="7" t="str">
        <f aca="false">IF(AND(K316&lt;&gt;"",J316&lt;&gt;""),K316*J316,"")</f>
        <v/>
      </c>
      <c r="M316" s="8" t="str">
        <f aca="false">IF(AND(F316&lt;&gt;"",G316&lt;&gt;"",H316&lt;&gt;""),IF(E316="Long",(H316-F316)/(F316-G316),(F316-H316)/(G316-F316)),"")</f>
        <v/>
      </c>
      <c r="N316" s="8" t="str">
        <f aca="false">IF(AND(F316&lt;&gt;"",G316&lt;&gt;"",I316&lt;&gt;""),IF(E316="Long",(I316-F316)/(F316-G316),(F316-I316)/(G316-F316)),"")</f>
        <v/>
      </c>
      <c r="O316" s="4" t="str">
        <f aca="false">IF(L316="","",IF(L316&gt;0,"Win",IF(L316&lt;0,"Loss","Break Even")))</f>
        <v/>
      </c>
      <c r="P316" s="4"/>
      <c r="Q316" s="4"/>
      <c r="R316" s="4"/>
    </row>
    <row r="317" customFormat="false" ht="15" hidden="false" customHeight="false" outlineLevel="0" collapsed="false">
      <c r="A317" s="9" t="str">
        <f aca="false">IF(B317&lt;&gt;"",ROW()-3,"")</f>
        <v/>
      </c>
      <c r="B317" s="10"/>
      <c r="C317" s="9" t="str">
        <f aca="false">IF(B317&lt;&gt;"",TEXT(B317,"DDDD"),"")</f>
        <v/>
      </c>
      <c r="D317" s="9"/>
      <c r="E317" s="9"/>
      <c r="F317" s="9"/>
      <c r="G317" s="9"/>
      <c r="H317" s="9"/>
      <c r="I317" s="9"/>
      <c r="J317" s="9"/>
      <c r="K317" s="11" t="str">
        <f aca="false">IF(AND(B317&lt;&gt;"",I317&lt;&gt;"",F317&lt;&gt;""),IF(E317="Long",(I317-F317)*20,(F317-I317)*20),"")</f>
        <v/>
      </c>
      <c r="L317" s="12" t="str">
        <f aca="false">IF(AND(K317&lt;&gt;"",J317&lt;&gt;""),K317*J317,"")</f>
        <v/>
      </c>
      <c r="M317" s="13" t="str">
        <f aca="false">IF(AND(F317&lt;&gt;"",G317&lt;&gt;"",H317&lt;&gt;""),IF(E317="Long",(H317-F317)/(F317-G317),(F317-H317)/(G317-F317)),"")</f>
        <v/>
      </c>
      <c r="N317" s="13" t="str">
        <f aca="false">IF(AND(F317&lt;&gt;"",G317&lt;&gt;"",I317&lt;&gt;""),IF(E317="Long",(I317-F317)/(F317-G317),(F317-I317)/(G317-F317)),"")</f>
        <v/>
      </c>
      <c r="O317" s="9" t="str">
        <f aca="false">IF(L317="","",IF(L317&gt;0,"Win",IF(L317&lt;0,"Loss","Break Even")))</f>
        <v/>
      </c>
      <c r="P317" s="9"/>
      <c r="Q317" s="9"/>
      <c r="R317" s="9"/>
    </row>
    <row r="318" customFormat="false" ht="15" hidden="false" customHeight="false" outlineLevel="0" collapsed="false">
      <c r="A318" s="4" t="str">
        <f aca="false">IF(B318&lt;&gt;"",ROW()-3,"")</f>
        <v/>
      </c>
      <c r="B318" s="5"/>
      <c r="C318" s="4" t="str">
        <f aca="false">IF(B318&lt;&gt;"",TEXT(B318,"DDDD"),"")</f>
        <v/>
      </c>
      <c r="D318" s="4"/>
      <c r="E318" s="4"/>
      <c r="F318" s="4"/>
      <c r="G318" s="4"/>
      <c r="H318" s="4"/>
      <c r="I318" s="4"/>
      <c r="J318" s="4"/>
      <c r="K318" s="6" t="str">
        <f aca="false">IF(AND(B318&lt;&gt;"",I318&lt;&gt;"",F318&lt;&gt;""),IF(E318="Long",(I318-F318)*20,(F318-I318)*20),"")</f>
        <v/>
      </c>
      <c r="L318" s="7" t="str">
        <f aca="false">IF(AND(K318&lt;&gt;"",J318&lt;&gt;""),K318*J318,"")</f>
        <v/>
      </c>
      <c r="M318" s="8" t="str">
        <f aca="false">IF(AND(F318&lt;&gt;"",G318&lt;&gt;"",H318&lt;&gt;""),IF(E318="Long",(H318-F318)/(F318-G318),(F318-H318)/(G318-F318)),"")</f>
        <v/>
      </c>
      <c r="N318" s="8" t="str">
        <f aca="false">IF(AND(F318&lt;&gt;"",G318&lt;&gt;"",I318&lt;&gt;""),IF(E318="Long",(I318-F318)/(F318-G318),(F318-I318)/(G318-F318)),"")</f>
        <v/>
      </c>
      <c r="O318" s="4" t="str">
        <f aca="false">IF(L318="","",IF(L318&gt;0,"Win",IF(L318&lt;0,"Loss","Break Even")))</f>
        <v/>
      </c>
      <c r="P318" s="4"/>
      <c r="Q318" s="4"/>
      <c r="R318" s="4"/>
    </row>
    <row r="319" customFormat="false" ht="15" hidden="false" customHeight="false" outlineLevel="0" collapsed="false">
      <c r="A319" s="9" t="str">
        <f aca="false">IF(B319&lt;&gt;"",ROW()-3,"")</f>
        <v/>
      </c>
      <c r="B319" s="10"/>
      <c r="C319" s="9" t="str">
        <f aca="false">IF(B319&lt;&gt;"",TEXT(B319,"DDDD"),"")</f>
        <v/>
      </c>
      <c r="D319" s="9"/>
      <c r="E319" s="9"/>
      <c r="F319" s="9"/>
      <c r="G319" s="9"/>
      <c r="H319" s="9"/>
      <c r="I319" s="9"/>
      <c r="J319" s="9"/>
      <c r="K319" s="11" t="str">
        <f aca="false">IF(AND(B319&lt;&gt;"",I319&lt;&gt;"",F319&lt;&gt;""),IF(E319="Long",(I319-F319)*20,(F319-I319)*20),"")</f>
        <v/>
      </c>
      <c r="L319" s="12" t="str">
        <f aca="false">IF(AND(K319&lt;&gt;"",J319&lt;&gt;""),K319*J319,"")</f>
        <v/>
      </c>
      <c r="M319" s="13" t="str">
        <f aca="false">IF(AND(F319&lt;&gt;"",G319&lt;&gt;"",H319&lt;&gt;""),IF(E319="Long",(H319-F319)/(F319-G319),(F319-H319)/(G319-F319)),"")</f>
        <v/>
      </c>
      <c r="N319" s="13" t="str">
        <f aca="false">IF(AND(F319&lt;&gt;"",G319&lt;&gt;"",I319&lt;&gt;""),IF(E319="Long",(I319-F319)/(F319-G319),(F319-I319)/(G319-F319)),"")</f>
        <v/>
      </c>
      <c r="O319" s="9" t="str">
        <f aca="false">IF(L319="","",IF(L319&gt;0,"Win",IF(L319&lt;0,"Loss","Break Even")))</f>
        <v/>
      </c>
      <c r="P319" s="9"/>
      <c r="Q319" s="9"/>
      <c r="R319" s="9"/>
    </row>
    <row r="320" customFormat="false" ht="15" hidden="false" customHeight="false" outlineLevel="0" collapsed="false">
      <c r="A320" s="4" t="str">
        <f aca="false">IF(B320&lt;&gt;"",ROW()-3,"")</f>
        <v/>
      </c>
      <c r="B320" s="5"/>
      <c r="C320" s="4" t="str">
        <f aca="false">IF(B320&lt;&gt;"",TEXT(B320,"DDDD"),"")</f>
        <v/>
      </c>
      <c r="D320" s="4"/>
      <c r="E320" s="4"/>
      <c r="F320" s="4"/>
      <c r="G320" s="4"/>
      <c r="H320" s="4"/>
      <c r="I320" s="4"/>
      <c r="J320" s="4"/>
      <c r="K320" s="6" t="str">
        <f aca="false">IF(AND(B320&lt;&gt;"",I320&lt;&gt;"",F320&lt;&gt;""),IF(E320="Long",(I320-F320)*20,(F320-I320)*20),"")</f>
        <v/>
      </c>
      <c r="L320" s="7" t="str">
        <f aca="false">IF(AND(K320&lt;&gt;"",J320&lt;&gt;""),K320*J320,"")</f>
        <v/>
      </c>
      <c r="M320" s="8" t="str">
        <f aca="false">IF(AND(F320&lt;&gt;"",G320&lt;&gt;"",H320&lt;&gt;""),IF(E320="Long",(H320-F320)/(F320-G320),(F320-H320)/(G320-F320)),"")</f>
        <v/>
      </c>
      <c r="N320" s="8" t="str">
        <f aca="false">IF(AND(F320&lt;&gt;"",G320&lt;&gt;"",I320&lt;&gt;""),IF(E320="Long",(I320-F320)/(F320-G320),(F320-I320)/(G320-F320)),"")</f>
        <v/>
      </c>
      <c r="O320" s="4" t="str">
        <f aca="false">IF(L320="","",IF(L320&gt;0,"Win",IF(L320&lt;0,"Loss","Break Even")))</f>
        <v/>
      </c>
      <c r="P320" s="4"/>
      <c r="Q320" s="4"/>
      <c r="R320" s="4"/>
    </row>
    <row r="321" customFormat="false" ht="15" hidden="false" customHeight="false" outlineLevel="0" collapsed="false">
      <c r="A321" s="9" t="str">
        <f aca="false">IF(B321&lt;&gt;"",ROW()-3,"")</f>
        <v/>
      </c>
      <c r="B321" s="10"/>
      <c r="C321" s="9" t="str">
        <f aca="false">IF(B321&lt;&gt;"",TEXT(B321,"DDDD"),"")</f>
        <v/>
      </c>
      <c r="D321" s="9"/>
      <c r="E321" s="9"/>
      <c r="F321" s="9"/>
      <c r="G321" s="9"/>
      <c r="H321" s="9"/>
      <c r="I321" s="9"/>
      <c r="J321" s="9"/>
      <c r="K321" s="11" t="str">
        <f aca="false">IF(AND(B321&lt;&gt;"",I321&lt;&gt;"",F321&lt;&gt;""),IF(E321="Long",(I321-F321)*20,(F321-I321)*20),"")</f>
        <v/>
      </c>
      <c r="L321" s="12" t="str">
        <f aca="false">IF(AND(K321&lt;&gt;"",J321&lt;&gt;""),K321*J321,"")</f>
        <v/>
      </c>
      <c r="M321" s="13" t="str">
        <f aca="false">IF(AND(F321&lt;&gt;"",G321&lt;&gt;"",H321&lt;&gt;""),IF(E321="Long",(H321-F321)/(F321-G321),(F321-H321)/(G321-F321)),"")</f>
        <v/>
      </c>
      <c r="N321" s="13" t="str">
        <f aca="false">IF(AND(F321&lt;&gt;"",G321&lt;&gt;"",I321&lt;&gt;""),IF(E321="Long",(I321-F321)/(F321-G321),(F321-I321)/(G321-F321)),"")</f>
        <v/>
      </c>
      <c r="O321" s="9" t="str">
        <f aca="false">IF(L321="","",IF(L321&gt;0,"Win",IF(L321&lt;0,"Loss","Break Even")))</f>
        <v/>
      </c>
      <c r="P321" s="9"/>
      <c r="Q321" s="9"/>
      <c r="R321" s="9"/>
    </row>
    <row r="322" customFormat="false" ht="15" hidden="false" customHeight="false" outlineLevel="0" collapsed="false">
      <c r="A322" s="4" t="str">
        <f aca="false">IF(B322&lt;&gt;"",ROW()-3,"")</f>
        <v/>
      </c>
      <c r="B322" s="5"/>
      <c r="C322" s="4" t="str">
        <f aca="false">IF(B322&lt;&gt;"",TEXT(B322,"DDDD"),"")</f>
        <v/>
      </c>
      <c r="D322" s="4"/>
      <c r="E322" s="4"/>
      <c r="F322" s="4"/>
      <c r="G322" s="4"/>
      <c r="H322" s="4"/>
      <c r="I322" s="4"/>
      <c r="J322" s="4"/>
      <c r="K322" s="6" t="str">
        <f aca="false">IF(AND(B322&lt;&gt;"",I322&lt;&gt;"",F322&lt;&gt;""),IF(E322="Long",(I322-F322)*20,(F322-I322)*20),"")</f>
        <v/>
      </c>
      <c r="L322" s="7" t="str">
        <f aca="false">IF(AND(K322&lt;&gt;"",J322&lt;&gt;""),K322*J322,"")</f>
        <v/>
      </c>
      <c r="M322" s="8" t="str">
        <f aca="false">IF(AND(F322&lt;&gt;"",G322&lt;&gt;"",H322&lt;&gt;""),IF(E322="Long",(H322-F322)/(F322-G322),(F322-H322)/(G322-F322)),"")</f>
        <v/>
      </c>
      <c r="N322" s="8" t="str">
        <f aca="false">IF(AND(F322&lt;&gt;"",G322&lt;&gt;"",I322&lt;&gt;""),IF(E322="Long",(I322-F322)/(F322-G322),(F322-I322)/(G322-F322)),"")</f>
        <v/>
      </c>
      <c r="O322" s="4" t="str">
        <f aca="false">IF(L322="","",IF(L322&gt;0,"Win",IF(L322&lt;0,"Loss","Break Even")))</f>
        <v/>
      </c>
      <c r="P322" s="4"/>
      <c r="Q322" s="4"/>
      <c r="R322" s="4"/>
    </row>
    <row r="323" customFormat="false" ht="15" hidden="false" customHeight="false" outlineLevel="0" collapsed="false">
      <c r="A323" s="9" t="str">
        <f aca="false">IF(B323&lt;&gt;"",ROW()-3,"")</f>
        <v/>
      </c>
      <c r="B323" s="10"/>
      <c r="C323" s="9" t="str">
        <f aca="false">IF(B323&lt;&gt;"",TEXT(B323,"DDDD"),"")</f>
        <v/>
      </c>
      <c r="D323" s="9"/>
      <c r="E323" s="9"/>
      <c r="F323" s="9"/>
      <c r="G323" s="9"/>
      <c r="H323" s="9"/>
      <c r="I323" s="9"/>
      <c r="J323" s="9"/>
      <c r="K323" s="11" t="str">
        <f aca="false">IF(AND(B323&lt;&gt;"",I323&lt;&gt;"",F323&lt;&gt;""),IF(E323="Long",(I323-F323)*20,(F323-I323)*20),"")</f>
        <v/>
      </c>
      <c r="L323" s="12" t="str">
        <f aca="false">IF(AND(K323&lt;&gt;"",J323&lt;&gt;""),K323*J323,"")</f>
        <v/>
      </c>
      <c r="M323" s="13" t="str">
        <f aca="false">IF(AND(F323&lt;&gt;"",G323&lt;&gt;"",H323&lt;&gt;""),IF(E323="Long",(H323-F323)/(F323-G323),(F323-H323)/(G323-F323)),"")</f>
        <v/>
      </c>
      <c r="N323" s="13" t="str">
        <f aca="false">IF(AND(F323&lt;&gt;"",G323&lt;&gt;"",I323&lt;&gt;""),IF(E323="Long",(I323-F323)/(F323-G323),(F323-I323)/(G323-F323)),"")</f>
        <v/>
      </c>
      <c r="O323" s="9" t="str">
        <f aca="false">IF(L323="","",IF(L323&gt;0,"Win",IF(L323&lt;0,"Loss","Break Even")))</f>
        <v/>
      </c>
      <c r="P323" s="9"/>
      <c r="Q323" s="9"/>
      <c r="R323" s="9"/>
    </row>
    <row r="324" customFormat="false" ht="15" hidden="false" customHeight="false" outlineLevel="0" collapsed="false">
      <c r="A324" s="4" t="str">
        <f aca="false">IF(B324&lt;&gt;"",ROW()-3,"")</f>
        <v/>
      </c>
      <c r="B324" s="5"/>
      <c r="C324" s="4" t="str">
        <f aca="false">IF(B324&lt;&gt;"",TEXT(B324,"DDDD"),"")</f>
        <v/>
      </c>
      <c r="D324" s="4"/>
      <c r="E324" s="4"/>
      <c r="F324" s="4"/>
      <c r="G324" s="4"/>
      <c r="H324" s="4"/>
      <c r="I324" s="4"/>
      <c r="J324" s="4"/>
      <c r="K324" s="6" t="str">
        <f aca="false">IF(AND(B324&lt;&gt;"",I324&lt;&gt;"",F324&lt;&gt;""),IF(E324="Long",(I324-F324)*20,(F324-I324)*20),"")</f>
        <v/>
      </c>
      <c r="L324" s="7" t="str">
        <f aca="false">IF(AND(K324&lt;&gt;"",J324&lt;&gt;""),K324*J324,"")</f>
        <v/>
      </c>
      <c r="M324" s="8" t="str">
        <f aca="false">IF(AND(F324&lt;&gt;"",G324&lt;&gt;"",H324&lt;&gt;""),IF(E324="Long",(H324-F324)/(F324-G324),(F324-H324)/(G324-F324)),"")</f>
        <v/>
      </c>
      <c r="N324" s="8" t="str">
        <f aca="false">IF(AND(F324&lt;&gt;"",G324&lt;&gt;"",I324&lt;&gt;""),IF(E324="Long",(I324-F324)/(F324-G324),(F324-I324)/(G324-F324)),"")</f>
        <v/>
      </c>
      <c r="O324" s="4" t="str">
        <f aca="false">IF(L324="","",IF(L324&gt;0,"Win",IF(L324&lt;0,"Loss","Break Even")))</f>
        <v/>
      </c>
      <c r="P324" s="4"/>
      <c r="Q324" s="4"/>
      <c r="R324" s="4"/>
    </row>
    <row r="325" customFormat="false" ht="15" hidden="false" customHeight="false" outlineLevel="0" collapsed="false">
      <c r="A325" s="9" t="str">
        <f aca="false">IF(B325&lt;&gt;"",ROW()-3,"")</f>
        <v/>
      </c>
      <c r="B325" s="10"/>
      <c r="C325" s="9" t="str">
        <f aca="false">IF(B325&lt;&gt;"",TEXT(B325,"DDDD"),"")</f>
        <v/>
      </c>
      <c r="D325" s="9"/>
      <c r="E325" s="9"/>
      <c r="F325" s="9"/>
      <c r="G325" s="9"/>
      <c r="H325" s="9"/>
      <c r="I325" s="9"/>
      <c r="J325" s="9"/>
      <c r="K325" s="11" t="str">
        <f aca="false">IF(AND(B325&lt;&gt;"",I325&lt;&gt;"",F325&lt;&gt;""),IF(E325="Long",(I325-F325)*20,(F325-I325)*20),"")</f>
        <v/>
      </c>
      <c r="L325" s="12" t="str">
        <f aca="false">IF(AND(K325&lt;&gt;"",J325&lt;&gt;""),K325*J325,"")</f>
        <v/>
      </c>
      <c r="M325" s="13" t="str">
        <f aca="false">IF(AND(F325&lt;&gt;"",G325&lt;&gt;"",H325&lt;&gt;""),IF(E325="Long",(H325-F325)/(F325-G325),(F325-H325)/(G325-F325)),"")</f>
        <v/>
      </c>
      <c r="N325" s="13" t="str">
        <f aca="false">IF(AND(F325&lt;&gt;"",G325&lt;&gt;"",I325&lt;&gt;""),IF(E325="Long",(I325-F325)/(F325-G325),(F325-I325)/(G325-F325)),"")</f>
        <v/>
      </c>
      <c r="O325" s="9" t="str">
        <f aca="false">IF(L325="","",IF(L325&gt;0,"Win",IF(L325&lt;0,"Loss","Break Even")))</f>
        <v/>
      </c>
      <c r="P325" s="9"/>
      <c r="Q325" s="9"/>
      <c r="R325" s="9"/>
    </row>
    <row r="326" customFormat="false" ht="15" hidden="false" customHeight="false" outlineLevel="0" collapsed="false">
      <c r="A326" s="4" t="str">
        <f aca="false">IF(B326&lt;&gt;"",ROW()-3,"")</f>
        <v/>
      </c>
      <c r="B326" s="5"/>
      <c r="C326" s="4" t="str">
        <f aca="false">IF(B326&lt;&gt;"",TEXT(B326,"DDDD"),"")</f>
        <v/>
      </c>
      <c r="D326" s="4"/>
      <c r="E326" s="4"/>
      <c r="F326" s="4"/>
      <c r="G326" s="4"/>
      <c r="H326" s="4"/>
      <c r="I326" s="4"/>
      <c r="J326" s="4"/>
      <c r="K326" s="6" t="str">
        <f aca="false">IF(AND(B326&lt;&gt;"",I326&lt;&gt;"",F326&lt;&gt;""),IF(E326="Long",(I326-F326)*20,(F326-I326)*20),"")</f>
        <v/>
      </c>
      <c r="L326" s="7" t="str">
        <f aca="false">IF(AND(K326&lt;&gt;"",J326&lt;&gt;""),K326*J326,"")</f>
        <v/>
      </c>
      <c r="M326" s="8" t="str">
        <f aca="false">IF(AND(F326&lt;&gt;"",G326&lt;&gt;"",H326&lt;&gt;""),IF(E326="Long",(H326-F326)/(F326-G326),(F326-H326)/(G326-F326)),"")</f>
        <v/>
      </c>
      <c r="N326" s="8" t="str">
        <f aca="false">IF(AND(F326&lt;&gt;"",G326&lt;&gt;"",I326&lt;&gt;""),IF(E326="Long",(I326-F326)/(F326-G326),(F326-I326)/(G326-F326)),"")</f>
        <v/>
      </c>
      <c r="O326" s="4" t="str">
        <f aca="false">IF(L326="","",IF(L326&gt;0,"Win",IF(L326&lt;0,"Loss","Break Even")))</f>
        <v/>
      </c>
      <c r="P326" s="4"/>
      <c r="Q326" s="4"/>
      <c r="R326" s="4"/>
    </row>
    <row r="327" customFormat="false" ht="15" hidden="false" customHeight="false" outlineLevel="0" collapsed="false">
      <c r="A327" s="9" t="str">
        <f aca="false">IF(B327&lt;&gt;"",ROW()-3,"")</f>
        <v/>
      </c>
      <c r="B327" s="10"/>
      <c r="C327" s="9" t="str">
        <f aca="false">IF(B327&lt;&gt;"",TEXT(B327,"DDDD"),"")</f>
        <v/>
      </c>
      <c r="D327" s="9"/>
      <c r="E327" s="9"/>
      <c r="F327" s="9"/>
      <c r="G327" s="9"/>
      <c r="H327" s="9"/>
      <c r="I327" s="9"/>
      <c r="J327" s="9"/>
      <c r="K327" s="11" t="str">
        <f aca="false">IF(AND(B327&lt;&gt;"",I327&lt;&gt;"",F327&lt;&gt;""),IF(E327="Long",(I327-F327)*20,(F327-I327)*20),"")</f>
        <v/>
      </c>
      <c r="L327" s="12" t="str">
        <f aca="false">IF(AND(K327&lt;&gt;"",J327&lt;&gt;""),K327*J327,"")</f>
        <v/>
      </c>
      <c r="M327" s="13" t="str">
        <f aca="false">IF(AND(F327&lt;&gt;"",G327&lt;&gt;"",H327&lt;&gt;""),IF(E327="Long",(H327-F327)/(F327-G327),(F327-H327)/(G327-F327)),"")</f>
        <v/>
      </c>
      <c r="N327" s="13" t="str">
        <f aca="false">IF(AND(F327&lt;&gt;"",G327&lt;&gt;"",I327&lt;&gt;""),IF(E327="Long",(I327-F327)/(F327-G327),(F327-I327)/(G327-F327)),"")</f>
        <v/>
      </c>
      <c r="O327" s="9" t="str">
        <f aca="false">IF(L327="","",IF(L327&gt;0,"Win",IF(L327&lt;0,"Loss","Break Even")))</f>
        <v/>
      </c>
      <c r="P327" s="9"/>
      <c r="Q327" s="9"/>
      <c r="R327" s="9"/>
    </row>
    <row r="328" customFormat="false" ht="15" hidden="false" customHeight="false" outlineLevel="0" collapsed="false">
      <c r="A328" s="4" t="str">
        <f aca="false">IF(B328&lt;&gt;"",ROW()-3,"")</f>
        <v/>
      </c>
      <c r="B328" s="5"/>
      <c r="C328" s="4" t="str">
        <f aca="false">IF(B328&lt;&gt;"",TEXT(B328,"DDDD"),"")</f>
        <v/>
      </c>
      <c r="D328" s="4"/>
      <c r="E328" s="4"/>
      <c r="F328" s="4"/>
      <c r="G328" s="4"/>
      <c r="H328" s="4"/>
      <c r="I328" s="4"/>
      <c r="J328" s="4"/>
      <c r="K328" s="6" t="str">
        <f aca="false">IF(AND(B328&lt;&gt;"",I328&lt;&gt;"",F328&lt;&gt;""),IF(E328="Long",(I328-F328)*20,(F328-I328)*20),"")</f>
        <v/>
      </c>
      <c r="L328" s="7" t="str">
        <f aca="false">IF(AND(K328&lt;&gt;"",J328&lt;&gt;""),K328*J328,"")</f>
        <v/>
      </c>
      <c r="M328" s="8" t="str">
        <f aca="false">IF(AND(F328&lt;&gt;"",G328&lt;&gt;"",H328&lt;&gt;""),IF(E328="Long",(H328-F328)/(F328-G328),(F328-H328)/(G328-F328)),"")</f>
        <v/>
      </c>
      <c r="N328" s="8" t="str">
        <f aca="false">IF(AND(F328&lt;&gt;"",G328&lt;&gt;"",I328&lt;&gt;""),IF(E328="Long",(I328-F328)/(F328-G328),(F328-I328)/(G328-F328)),"")</f>
        <v/>
      </c>
      <c r="O328" s="4" t="str">
        <f aca="false">IF(L328="","",IF(L328&gt;0,"Win",IF(L328&lt;0,"Loss","Break Even")))</f>
        <v/>
      </c>
      <c r="P328" s="4"/>
      <c r="Q328" s="4"/>
      <c r="R328" s="4"/>
    </row>
    <row r="329" customFormat="false" ht="15" hidden="false" customHeight="false" outlineLevel="0" collapsed="false">
      <c r="A329" s="9" t="str">
        <f aca="false">IF(B329&lt;&gt;"",ROW()-3,"")</f>
        <v/>
      </c>
      <c r="B329" s="10"/>
      <c r="C329" s="9" t="str">
        <f aca="false">IF(B329&lt;&gt;"",TEXT(B329,"DDDD"),"")</f>
        <v/>
      </c>
      <c r="D329" s="9"/>
      <c r="E329" s="9"/>
      <c r="F329" s="9"/>
      <c r="G329" s="9"/>
      <c r="H329" s="9"/>
      <c r="I329" s="9"/>
      <c r="J329" s="9"/>
      <c r="K329" s="11" t="str">
        <f aca="false">IF(AND(B329&lt;&gt;"",I329&lt;&gt;"",F329&lt;&gt;""),IF(E329="Long",(I329-F329)*20,(F329-I329)*20),"")</f>
        <v/>
      </c>
      <c r="L329" s="12" t="str">
        <f aca="false">IF(AND(K329&lt;&gt;"",J329&lt;&gt;""),K329*J329,"")</f>
        <v/>
      </c>
      <c r="M329" s="13" t="str">
        <f aca="false">IF(AND(F329&lt;&gt;"",G329&lt;&gt;"",H329&lt;&gt;""),IF(E329="Long",(H329-F329)/(F329-G329),(F329-H329)/(G329-F329)),"")</f>
        <v/>
      </c>
      <c r="N329" s="13" t="str">
        <f aca="false">IF(AND(F329&lt;&gt;"",G329&lt;&gt;"",I329&lt;&gt;""),IF(E329="Long",(I329-F329)/(F329-G329),(F329-I329)/(G329-F329)),"")</f>
        <v/>
      </c>
      <c r="O329" s="9" t="str">
        <f aca="false">IF(L329="","",IF(L329&gt;0,"Win",IF(L329&lt;0,"Loss","Break Even")))</f>
        <v/>
      </c>
      <c r="P329" s="9"/>
      <c r="Q329" s="9"/>
      <c r="R329" s="9"/>
    </row>
    <row r="330" customFormat="false" ht="15" hidden="false" customHeight="false" outlineLevel="0" collapsed="false">
      <c r="A330" s="4" t="str">
        <f aca="false">IF(B330&lt;&gt;"",ROW()-3,"")</f>
        <v/>
      </c>
      <c r="B330" s="5"/>
      <c r="C330" s="4" t="str">
        <f aca="false">IF(B330&lt;&gt;"",TEXT(B330,"DDDD"),"")</f>
        <v/>
      </c>
      <c r="D330" s="4"/>
      <c r="E330" s="4"/>
      <c r="F330" s="4"/>
      <c r="G330" s="4"/>
      <c r="H330" s="4"/>
      <c r="I330" s="4"/>
      <c r="J330" s="4"/>
      <c r="K330" s="6" t="str">
        <f aca="false">IF(AND(B330&lt;&gt;"",I330&lt;&gt;"",F330&lt;&gt;""),IF(E330="Long",(I330-F330)*20,(F330-I330)*20),"")</f>
        <v/>
      </c>
      <c r="L330" s="7" t="str">
        <f aca="false">IF(AND(K330&lt;&gt;"",J330&lt;&gt;""),K330*J330,"")</f>
        <v/>
      </c>
      <c r="M330" s="8" t="str">
        <f aca="false">IF(AND(F330&lt;&gt;"",G330&lt;&gt;"",H330&lt;&gt;""),IF(E330="Long",(H330-F330)/(F330-G330),(F330-H330)/(G330-F330)),"")</f>
        <v/>
      </c>
      <c r="N330" s="8" t="str">
        <f aca="false">IF(AND(F330&lt;&gt;"",G330&lt;&gt;"",I330&lt;&gt;""),IF(E330="Long",(I330-F330)/(F330-G330),(F330-I330)/(G330-F330)),"")</f>
        <v/>
      </c>
      <c r="O330" s="4" t="str">
        <f aca="false">IF(L330="","",IF(L330&gt;0,"Win",IF(L330&lt;0,"Loss","Break Even")))</f>
        <v/>
      </c>
      <c r="P330" s="4"/>
      <c r="Q330" s="4"/>
      <c r="R330" s="4"/>
    </row>
    <row r="331" customFormat="false" ht="15" hidden="false" customHeight="false" outlineLevel="0" collapsed="false">
      <c r="A331" s="9" t="str">
        <f aca="false">IF(B331&lt;&gt;"",ROW()-3,"")</f>
        <v/>
      </c>
      <c r="B331" s="10"/>
      <c r="C331" s="9" t="str">
        <f aca="false">IF(B331&lt;&gt;"",TEXT(B331,"DDDD"),"")</f>
        <v/>
      </c>
      <c r="D331" s="9"/>
      <c r="E331" s="9"/>
      <c r="F331" s="9"/>
      <c r="G331" s="9"/>
      <c r="H331" s="9"/>
      <c r="I331" s="9"/>
      <c r="J331" s="9"/>
      <c r="K331" s="11" t="str">
        <f aca="false">IF(AND(B331&lt;&gt;"",I331&lt;&gt;"",F331&lt;&gt;""),IF(E331="Long",(I331-F331)*20,(F331-I331)*20),"")</f>
        <v/>
      </c>
      <c r="L331" s="12" t="str">
        <f aca="false">IF(AND(K331&lt;&gt;"",J331&lt;&gt;""),K331*J331,"")</f>
        <v/>
      </c>
      <c r="M331" s="13" t="str">
        <f aca="false">IF(AND(F331&lt;&gt;"",G331&lt;&gt;"",H331&lt;&gt;""),IF(E331="Long",(H331-F331)/(F331-G331),(F331-H331)/(G331-F331)),"")</f>
        <v/>
      </c>
      <c r="N331" s="13" t="str">
        <f aca="false">IF(AND(F331&lt;&gt;"",G331&lt;&gt;"",I331&lt;&gt;""),IF(E331="Long",(I331-F331)/(F331-G331),(F331-I331)/(G331-F331)),"")</f>
        <v/>
      </c>
      <c r="O331" s="9" t="str">
        <f aca="false">IF(L331="","",IF(L331&gt;0,"Win",IF(L331&lt;0,"Loss","Break Even")))</f>
        <v/>
      </c>
      <c r="P331" s="9"/>
      <c r="Q331" s="9"/>
      <c r="R331" s="9"/>
    </row>
    <row r="332" customFormat="false" ht="15" hidden="false" customHeight="false" outlineLevel="0" collapsed="false">
      <c r="A332" s="4" t="str">
        <f aca="false">IF(B332&lt;&gt;"",ROW()-3,"")</f>
        <v/>
      </c>
      <c r="B332" s="5"/>
      <c r="C332" s="4" t="str">
        <f aca="false">IF(B332&lt;&gt;"",TEXT(B332,"DDDD"),"")</f>
        <v/>
      </c>
      <c r="D332" s="4"/>
      <c r="E332" s="4"/>
      <c r="F332" s="4"/>
      <c r="G332" s="4"/>
      <c r="H332" s="4"/>
      <c r="I332" s="4"/>
      <c r="J332" s="4"/>
      <c r="K332" s="6" t="str">
        <f aca="false">IF(AND(B332&lt;&gt;"",I332&lt;&gt;"",F332&lt;&gt;""),IF(E332="Long",(I332-F332)*20,(F332-I332)*20),"")</f>
        <v/>
      </c>
      <c r="L332" s="7" t="str">
        <f aca="false">IF(AND(K332&lt;&gt;"",J332&lt;&gt;""),K332*J332,"")</f>
        <v/>
      </c>
      <c r="M332" s="8" t="str">
        <f aca="false">IF(AND(F332&lt;&gt;"",G332&lt;&gt;"",H332&lt;&gt;""),IF(E332="Long",(H332-F332)/(F332-G332),(F332-H332)/(G332-F332)),"")</f>
        <v/>
      </c>
      <c r="N332" s="8" t="str">
        <f aca="false">IF(AND(F332&lt;&gt;"",G332&lt;&gt;"",I332&lt;&gt;""),IF(E332="Long",(I332-F332)/(F332-G332),(F332-I332)/(G332-F332)),"")</f>
        <v/>
      </c>
      <c r="O332" s="4" t="str">
        <f aca="false">IF(L332="","",IF(L332&gt;0,"Win",IF(L332&lt;0,"Loss","Break Even")))</f>
        <v/>
      </c>
      <c r="P332" s="4"/>
      <c r="Q332" s="4"/>
      <c r="R332" s="4"/>
    </row>
    <row r="333" customFormat="false" ht="15" hidden="false" customHeight="false" outlineLevel="0" collapsed="false">
      <c r="A333" s="9" t="str">
        <f aca="false">IF(B333&lt;&gt;"",ROW()-3,"")</f>
        <v/>
      </c>
      <c r="B333" s="10"/>
      <c r="C333" s="9" t="str">
        <f aca="false">IF(B333&lt;&gt;"",TEXT(B333,"DDDD"),"")</f>
        <v/>
      </c>
      <c r="D333" s="9"/>
      <c r="E333" s="9"/>
      <c r="F333" s="9"/>
      <c r="G333" s="9"/>
      <c r="H333" s="9"/>
      <c r="I333" s="9"/>
      <c r="J333" s="9"/>
      <c r="K333" s="11" t="str">
        <f aca="false">IF(AND(B333&lt;&gt;"",I333&lt;&gt;"",F333&lt;&gt;""),IF(E333="Long",(I333-F333)*20,(F333-I333)*20),"")</f>
        <v/>
      </c>
      <c r="L333" s="12" t="str">
        <f aca="false">IF(AND(K333&lt;&gt;"",J333&lt;&gt;""),K333*J333,"")</f>
        <v/>
      </c>
      <c r="M333" s="13" t="str">
        <f aca="false">IF(AND(F333&lt;&gt;"",G333&lt;&gt;"",H333&lt;&gt;""),IF(E333="Long",(H333-F333)/(F333-G333),(F333-H333)/(G333-F333)),"")</f>
        <v/>
      </c>
      <c r="N333" s="13" t="str">
        <f aca="false">IF(AND(F333&lt;&gt;"",G333&lt;&gt;"",I333&lt;&gt;""),IF(E333="Long",(I333-F333)/(F333-G333),(F333-I333)/(G333-F333)),"")</f>
        <v/>
      </c>
      <c r="O333" s="9" t="str">
        <f aca="false">IF(L333="","",IF(L333&gt;0,"Win",IF(L333&lt;0,"Loss","Break Even")))</f>
        <v/>
      </c>
      <c r="P333" s="9"/>
      <c r="Q333" s="9"/>
      <c r="R333" s="9"/>
    </row>
    <row r="334" customFormat="false" ht="15" hidden="false" customHeight="false" outlineLevel="0" collapsed="false">
      <c r="A334" s="4" t="str">
        <f aca="false">IF(B334&lt;&gt;"",ROW()-3,"")</f>
        <v/>
      </c>
      <c r="B334" s="5"/>
      <c r="C334" s="4" t="str">
        <f aca="false">IF(B334&lt;&gt;"",TEXT(B334,"DDDD"),"")</f>
        <v/>
      </c>
      <c r="D334" s="4"/>
      <c r="E334" s="4"/>
      <c r="F334" s="4"/>
      <c r="G334" s="4"/>
      <c r="H334" s="4"/>
      <c r="I334" s="4"/>
      <c r="J334" s="4"/>
      <c r="K334" s="6" t="str">
        <f aca="false">IF(AND(B334&lt;&gt;"",I334&lt;&gt;"",F334&lt;&gt;""),IF(E334="Long",(I334-F334)*20,(F334-I334)*20),"")</f>
        <v/>
      </c>
      <c r="L334" s="7" t="str">
        <f aca="false">IF(AND(K334&lt;&gt;"",J334&lt;&gt;""),K334*J334,"")</f>
        <v/>
      </c>
      <c r="M334" s="8" t="str">
        <f aca="false">IF(AND(F334&lt;&gt;"",G334&lt;&gt;"",H334&lt;&gt;""),IF(E334="Long",(H334-F334)/(F334-G334),(F334-H334)/(G334-F334)),"")</f>
        <v/>
      </c>
      <c r="N334" s="8" t="str">
        <f aca="false">IF(AND(F334&lt;&gt;"",G334&lt;&gt;"",I334&lt;&gt;""),IF(E334="Long",(I334-F334)/(F334-G334),(F334-I334)/(G334-F334)),"")</f>
        <v/>
      </c>
      <c r="O334" s="4" t="str">
        <f aca="false">IF(L334="","",IF(L334&gt;0,"Win",IF(L334&lt;0,"Loss","Break Even")))</f>
        <v/>
      </c>
      <c r="P334" s="4"/>
      <c r="Q334" s="4"/>
      <c r="R334" s="4"/>
    </row>
    <row r="335" customFormat="false" ht="15" hidden="false" customHeight="false" outlineLevel="0" collapsed="false">
      <c r="A335" s="9" t="str">
        <f aca="false">IF(B335&lt;&gt;"",ROW()-3,"")</f>
        <v/>
      </c>
      <c r="B335" s="10"/>
      <c r="C335" s="9" t="str">
        <f aca="false">IF(B335&lt;&gt;"",TEXT(B335,"DDDD"),"")</f>
        <v/>
      </c>
      <c r="D335" s="9"/>
      <c r="E335" s="9"/>
      <c r="F335" s="9"/>
      <c r="G335" s="9"/>
      <c r="H335" s="9"/>
      <c r="I335" s="9"/>
      <c r="J335" s="9"/>
      <c r="K335" s="11" t="str">
        <f aca="false">IF(AND(B335&lt;&gt;"",I335&lt;&gt;"",F335&lt;&gt;""),IF(E335="Long",(I335-F335)*20,(F335-I335)*20),"")</f>
        <v/>
      </c>
      <c r="L335" s="12" t="str">
        <f aca="false">IF(AND(K335&lt;&gt;"",J335&lt;&gt;""),K335*J335,"")</f>
        <v/>
      </c>
      <c r="M335" s="13" t="str">
        <f aca="false">IF(AND(F335&lt;&gt;"",G335&lt;&gt;"",H335&lt;&gt;""),IF(E335="Long",(H335-F335)/(F335-G335),(F335-H335)/(G335-F335)),"")</f>
        <v/>
      </c>
      <c r="N335" s="13" t="str">
        <f aca="false">IF(AND(F335&lt;&gt;"",G335&lt;&gt;"",I335&lt;&gt;""),IF(E335="Long",(I335-F335)/(F335-G335),(F335-I335)/(G335-F335)),"")</f>
        <v/>
      </c>
      <c r="O335" s="9" t="str">
        <f aca="false">IF(L335="","",IF(L335&gt;0,"Win",IF(L335&lt;0,"Loss","Break Even")))</f>
        <v/>
      </c>
      <c r="P335" s="9"/>
      <c r="Q335" s="9"/>
      <c r="R335" s="9"/>
    </row>
    <row r="336" customFormat="false" ht="15" hidden="false" customHeight="false" outlineLevel="0" collapsed="false">
      <c r="A336" s="4" t="str">
        <f aca="false">IF(B336&lt;&gt;"",ROW()-3,"")</f>
        <v/>
      </c>
      <c r="B336" s="5"/>
      <c r="C336" s="4" t="str">
        <f aca="false">IF(B336&lt;&gt;"",TEXT(B336,"DDDD"),"")</f>
        <v/>
      </c>
      <c r="D336" s="4"/>
      <c r="E336" s="4"/>
      <c r="F336" s="4"/>
      <c r="G336" s="4"/>
      <c r="H336" s="4"/>
      <c r="I336" s="4"/>
      <c r="J336" s="4"/>
      <c r="K336" s="6" t="str">
        <f aca="false">IF(AND(B336&lt;&gt;"",I336&lt;&gt;"",F336&lt;&gt;""),IF(E336="Long",(I336-F336)*20,(F336-I336)*20),"")</f>
        <v/>
      </c>
      <c r="L336" s="7" t="str">
        <f aca="false">IF(AND(K336&lt;&gt;"",J336&lt;&gt;""),K336*J336,"")</f>
        <v/>
      </c>
      <c r="M336" s="8" t="str">
        <f aca="false">IF(AND(F336&lt;&gt;"",G336&lt;&gt;"",H336&lt;&gt;""),IF(E336="Long",(H336-F336)/(F336-G336),(F336-H336)/(G336-F336)),"")</f>
        <v/>
      </c>
      <c r="N336" s="8" t="str">
        <f aca="false">IF(AND(F336&lt;&gt;"",G336&lt;&gt;"",I336&lt;&gt;""),IF(E336="Long",(I336-F336)/(F336-G336),(F336-I336)/(G336-F336)),"")</f>
        <v/>
      </c>
      <c r="O336" s="4" t="str">
        <f aca="false">IF(L336="","",IF(L336&gt;0,"Win",IF(L336&lt;0,"Loss","Break Even")))</f>
        <v/>
      </c>
      <c r="P336" s="4"/>
      <c r="Q336" s="4"/>
      <c r="R336" s="4"/>
    </row>
    <row r="337" customFormat="false" ht="15" hidden="false" customHeight="false" outlineLevel="0" collapsed="false">
      <c r="A337" s="9" t="str">
        <f aca="false">IF(B337&lt;&gt;"",ROW()-3,"")</f>
        <v/>
      </c>
      <c r="B337" s="10"/>
      <c r="C337" s="9" t="str">
        <f aca="false">IF(B337&lt;&gt;"",TEXT(B337,"DDDD"),"")</f>
        <v/>
      </c>
      <c r="D337" s="9"/>
      <c r="E337" s="9"/>
      <c r="F337" s="9"/>
      <c r="G337" s="9"/>
      <c r="H337" s="9"/>
      <c r="I337" s="9"/>
      <c r="J337" s="9"/>
      <c r="K337" s="11" t="str">
        <f aca="false">IF(AND(B337&lt;&gt;"",I337&lt;&gt;"",F337&lt;&gt;""),IF(E337="Long",(I337-F337)*20,(F337-I337)*20),"")</f>
        <v/>
      </c>
      <c r="L337" s="12" t="str">
        <f aca="false">IF(AND(K337&lt;&gt;"",J337&lt;&gt;""),K337*J337,"")</f>
        <v/>
      </c>
      <c r="M337" s="13" t="str">
        <f aca="false">IF(AND(F337&lt;&gt;"",G337&lt;&gt;"",H337&lt;&gt;""),IF(E337="Long",(H337-F337)/(F337-G337),(F337-H337)/(G337-F337)),"")</f>
        <v/>
      </c>
      <c r="N337" s="13" t="str">
        <f aca="false">IF(AND(F337&lt;&gt;"",G337&lt;&gt;"",I337&lt;&gt;""),IF(E337="Long",(I337-F337)/(F337-G337),(F337-I337)/(G337-F337)),"")</f>
        <v/>
      </c>
      <c r="O337" s="9" t="str">
        <f aca="false">IF(L337="","",IF(L337&gt;0,"Win",IF(L337&lt;0,"Loss","Break Even")))</f>
        <v/>
      </c>
      <c r="P337" s="9"/>
      <c r="Q337" s="9"/>
      <c r="R337" s="9"/>
    </row>
    <row r="338" customFormat="false" ht="15" hidden="false" customHeight="false" outlineLevel="0" collapsed="false">
      <c r="A338" s="4" t="str">
        <f aca="false">IF(B338&lt;&gt;"",ROW()-3,"")</f>
        <v/>
      </c>
      <c r="B338" s="5"/>
      <c r="C338" s="4" t="str">
        <f aca="false">IF(B338&lt;&gt;"",TEXT(B338,"DDDD"),"")</f>
        <v/>
      </c>
      <c r="D338" s="4"/>
      <c r="E338" s="4"/>
      <c r="F338" s="4"/>
      <c r="G338" s="4"/>
      <c r="H338" s="4"/>
      <c r="I338" s="4"/>
      <c r="J338" s="4"/>
      <c r="K338" s="6" t="str">
        <f aca="false">IF(AND(B338&lt;&gt;"",I338&lt;&gt;"",F338&lt;&gt;""),IF(E338="Long",(I338-F338)*20,(F338-I338)*20),"")</f>
        <v/>
      </c>
      <c r="L338" s="7" t="str">
        <f aca="false">IF(AND(K338&lt;&gt;"",J338&lt;&gt;""),K338*J338,"")</f>
        <v/>
      </c>
      <c r="M338" s="8" t="str">
        <f aca="false">IF(AND(F338&lt;&gt;"",G338&lt;&gt;"",H338&lt;&gt;""),IF(E338="Long",(H338-F338)/(F338-G338),(F338-H338)/(G338-F338)),"")</f>
        <v/>
      </c>
      <c r="N338" s="8" t="str">
        <f aca="false">IF(AND(F338&lt;&gt;"",G338&lt;&gt;"",I338&lt;&gt;""),IF(E338="Long",(I338-F338)/(F338-G338),(F338-I338)/(G338-F338)),"")</f>
        <v/>
      </c>
      <c r="O338" s="4" t="str">
        <f aca="false">IF(L338="","",IF(L338&gt;0,"Win",IF(L338&lt;0,"Loss","Break Even")))</f>
        <v/>
      </c>
      <c r="P338" s="4"/>
      <c r="Q338" s="4"/>
      <c r="R338" s="4"/>
    </row>
    <row r="339" customFormat="false" ht="15" hidden="false" customHeight="false" outlineLevel="0" collapsed="false">
      <c r="A339" s="9" t="str">
        <f aca="false">IF(B339&lt;&gt;"",ROW()-3,"")</f>
        <v/>
      </c>
      <c r="B339" s="10"/>
      <c r="C339" s="9" t="str">
        <f aca="false">IF(B339&lt;&gt;"",TEXT(B339,"DDDD"),"")</f>
        <v/>
      </c>
      <c r="D339" s="9"/>
      <c r="E339" s="9"/>
      <c r="F339" s="9"/>
      <c r="G339" s="9"/>
      <c r="H339" s="9"/>
      <c r="I339" s="9"/>
      <c r="J339" s="9"/>
      <c r="K339" s="11" t="str">
        <f aca="false">IF(AND(B339&lt;&gt;"",I339&lt;&gt;"",F339&lt;&gt;""),IF(E339="Long",(I339-F339)*20,(F339-I339)*20),"")</f>
        <v/>
      </c>
      <c r="L339" s="12" t="str">
        <f aca="false">IF(AND(K339&lt;&gt;"",J339&lt;&gt;""),K339*J339,"")</f>
        <v/>
      </c>
      <c r="M339" s="13" t="str">
        <f aca="false">IF(AND(F339&lt;&gt;"",G339&lt;&gt;"",H339&lt;&gt;""),IF(E339="Long",(H339-F339)/(F339-G339),(F339-H339)/(G339-F339)),"")</f>
        <v/>
      </c>
      <c r="N339" s="13" t="str">
        <f aca="false">IF(AND(F339&lt;&gt;"",G339&lt;&gt;"",I339&lt;&gt;""),IF(E339="Long",(I339-F339)/(F339-G339),(F339-I339)/(G339-F339)),"")</f>
        <v/>
      </c>
      <c r="O339" s="9" t="str">
        <f aca="false">IF(L339="","",IF(L339&gt;0,"Win",IF(L339&lt;0,"Loss","Break Even")))</f>
        <v/>
      </c>
      <c r="P339" s="9"/>
      <c r="Q339" s="9"/>
      <c r="R339" s="9"/>
    </row>
    <row r="340" customFormat="false" ht="15" hidden="false" customHeight="false" outlineLevel="0" collapsed="false">
      <c r="A340" s="4" t="str">
        <f aca="false">IF(B340&lt;&gt;"",ROW()-3,"")</f>
        <v/>
      </c>
      <c r="B340" s="5"/>
      <c r="C340" s="4" t="str">
        <f aca="false">IF(B340&lt;&gt;"",TEXT(B340,"DDDD"),"")</f>
        <v/>
      </c>
      <c r="D340" s="4"/>
      <c r="E340" s="4"/>
      <c r="F340" s="4"/>
      <c r="G340" s="4"/>
      <c r="H340" s="4"/>
      <c r="I340" s="4"/>
      <c r="J340" s="4"/>
      <c r="K340" s="6" t="str">
        <f aca="false">IF(AND(B340&lt;&gt;"",I340&lt;&gt;"",F340&lt;&gt;""),IF(E340="Long",(I340-F340)*20,(F340-I340)*20),"")</f>
        <v/>
      </c>
      <c r="L340" s="7" t="str">
        <f aca="false">IF(AND(K340&lt;&gt;"",J340&lt;&gt;""),K340*J340,"")</f>
        <v/>
      </c>
      <c r="M340" s="8" t="str">
        <f aca="false">IF(AND(F340&lt;&gt;"",G340&lt;&gt;"",H340&lt;&gt;""),IF(E340="Long",(H340-F340)/(F340-G340),(F340-H340)/(G340-F340)),"")</f>
        <v/>
      </c>
      <c r="N340" s="8" t="str">
        <f aca="false">IF(AND(F340&lt;&gt;"",G340&lt;&gt;"",I340&lt;&gt;""),IF(E340="Long",(I340-F340)/(F340-G340),(F340-I340)/(G340-F340)),"")</f>
        <v/>
      </c>
      <c r="O340" s="4" t="str">
        <f aca="false">IF(L340="","",IF(L340&gt;0,"Win",IF(L340&lt;0,"Loss","Break Even")))</f>
        <v/>
      </c>
      <c r="P340" s="4"/>
      <c r="Q340" s="4"/>
      <c r="R340" s="4"/>
    </row>
    <row r="341" customFormat="false" ht="15" hidden="false" customHeight="false" outlineLevel="0" collapsed="false">
      <c r="A341" s="9" t="str">
        <f aca="false">IF(B341&lt;&gt;"",ROW()-3,"")</f>
        <v/>
      </c>
      <c r="B341" s="10"/>
      <c r="C341" s="9" t="str">
        <f aca="false">IF(B341&lt;&gt;"",TEXT(B341,"DDDD"),"")</f>
        <v/>
      </c>
      <c r="D341" s="9"/>
      <c r="E341" s="9"/>
      <c r="F341" s="9"/>
      <c r="G341" s="9"/>
      <c r="H341" s="9"/>
      <c r="I341" s="9"/>
      <c r="J341" s="9"/>
      <c r="K341" s="11" t="str">
        <f aca="false">IF(AND(B341&lt;&gt;"",I341&lt;&gt;"",F341&lt;&gt;""),IF(E341="Long",(I341-F341)*20,(F341-I341)*20),"")</f>
        <v/>
      </c>
      <c r="L341" s="12" t="str">
        <f aca="false">IF(AND(K341&lt;&gt;"",J341&lt;&gt;""),K341*J341,"")</f>
        <v/>
      </c>
      <c r="M341" s="13" t="str">
        <f aca="false">IF(AND(F341&lt;&gt;"",G341&lt;&gt;"",H341&lt;&gt;""),IF(E341="Long",(H341-F341)/(F341-G341),(F341-H341)/(G341-F341)),"")</f>
        <v/>
      </c>
      <c r="N341" s="13" t="str">
        <f aca="false">IF(AND(F341&lt;&gt;"",G341&lt;&gt;"",I341&lt;&gt;""),IF(E341="Long",(I341-F341)/(F341-G341),(F341-I341)/(G341-F341)),"")</f>
        <v/>
      </c>
      <c r="O341" s="9" t="str">
        <f aca="false">IF(L341="","",IF(L341&gt;0,"Win",IF(L341&lt;0,"Loss","Break Even")))</f>
        <v/>
      </c>
      <c r="P341" s="9"/>
      <c r="Q341" s="9"/>
      <c r="R341" s="9"/>
    </row>
    <row r="342" customFormat="false" ht="15" hidden="false" customHeight="false" outlineLevel="0" collapsed="false">
      <c r="A342" s="4" t="str">
        <f aca="false">IF(B342&lt;&gt;"",ROW()-3,"")</f>
        <v/>
      </c>
      <c r="B342" s="5"/>
      <c r="C342" s="4" t="str">
        <f aca="false">IF(B342&lt;&gt;"",TEXT(B342,"DDDD"),"")</f>
        <v/>
      </c>
      <c r="D342" s="4"/>
      <c r="E342" s="4"/>
      <c r="F342" s="4"/>
      <c r="G342" s="4"/>
      <c r="H342" s="4"/>
      <c r="I342" s="4"/>
      <c r="J342" s="4"/>
      <c r="K342" s="6" t="str">
        <f aca="false">IF(AND(B342&lt;&gt;"",I342&lt;&gt;"",F342&lt;&gt;""),IF(E342="Long",(I342-F342)*20,(F342-I342)*20),"")</f>
        <v/>
      </c>
      <c r="L342" s="7" t="str">
        <f aca="false">IF(AND(K342&lt;&gt;"",J342&lt;&gt;""),K342*J342,"")</f>
        <v/>
      </c>
      <c r="M342" s="8" t="str">
        <f aca="false">IF(AND(F342&lt;&gt;"",G342&lt;&gt;"",H342&lt;&gt;""),IF(E342="Long",(H342-F342)/(F342-G342),(F342-H342)/(G342-F342)),"")</f>
        <v/>
      </c>
      <c r="N342" s="8" t="str">
        <f aca="false">IF(AND(F342&lt;&gt;"",G342&lt;&gt;"",I342&lt;&gt;""),IF(E342="Long",(I342-F342)/(F342-G342),(F342-I342)/(G342-F342)),"")</f>
        <v/>
      </c>
      <c r="O342" s="4" t="str">
        <f aca="false">IF(L342="","",IF(L342&gt;0,"Win",IF(L342&lt;0,"Loss","Break Even")))</f>
        <v/>
      </c>
      <c r="P342" s="4"/>
      <c r="Q342" s="4"/>
      <c r="R342" s="4"/>
    </row>
    <row r="343" customFormat="false" ht="15" hidden="false" customHeight="false" outlineLevel="0" collapsed="false">
      <c r="A343" s="9" t="str">
        <f aca="false">IF(B343&lt;&gt;"",ROW()-3,"")</f>
        <v/>
      </c>
      <c r="B343" s="10"/>
      <c r="C343" s="9" t="str">
        <f aca="false">IF(B343&lt;&gt;"",TEXT(B343,"DDDD"),"")</f>
        <v/>
      </c>
      <c r="D343" s="9"/>
      <c r="E343" s="9"/>
      <c r="F343" s="9"/>
      <c r="G343" s="9"/>
      <c r="H343" s="9"/>
      <c r="I343" s="9"/>
      <c r="J343" s="9"/>
      <c r="K343" s="11" t="str">
        <f aca="false">IF(AND(B343&lt;&gt;"",I343&lt;&gt;"",F343&lt;&gt;""),IF(E343="Long",(I343-F343)*20,(F343-I343)*20),"")</f>
        <v/>
      </c>
      <c r="L343" s="12" t="str">
        <f aca="false">IF(AND(K343&lt;&gt;"",J343&lt;&gt;""),K343*J343,"")</f>
        <v/>
      </c>
      <c r="M343" s="13" t="str">
        <f aca="false">IF(AND(F343&lt;&gt;"",G343&lt;&gt;"",H343&lt;&gt;""),IF(E343="Long",(H343-F343)/(F343-G343),(F343-H343)/(G343-F343)),"")</f>
        <v/>
      </c>
      <c r="N343" s="13" t="str">
        <f aca="false">IF(AND(F343&lt;&gt;"",G343&lt;&gt;"",I343&lt;&gt;""),IF(E343="Long",(I343-F343)/(F343-G343),(F343-I343)/(G343-F343)),"")</f>
        <v/>
      </c>
      <c r="O343" s="9" t="str">
        <f aca="false">IF(L343="","",IF(L343&gt;0,"Win",IF(L343&lt;0,"Loss","Break Even")))</f>
        <v/>
      </c>
      <c r="P343" s="9"/>
      <c r="Q343" s="9"/>
      <c r="R343" s="9"/>
    </row>
    <row r="344" customFormat="false" ht="15" hidden="false" customHeight="false" outlineLevel="0" collapsed="false">
      <c r="A344" s="4" t="str">
        <f aca="false">IF(B344&lt;&gt;"",ROW()-3,"")</f>
        <v/>
      </c>
      <c r="B344" s="5"/>
      <c r="C344" s="4" t="str">
        <f aca="false">IF(B344&lt;&gt;"",TEXT(B344,"DDDD"),"")</f>
        <v/>
      </c>
      <c r="D344" s="4"/>
      <c r="E344" s="4"/>
      <c r="F344" s="4"/>
      <c r="G344" s="4"/>
      <c r="H344" s="4"/>
      <c r="I344" s="4"/>
      <c r="J344" s="4"/>
      <c r="K344" s="6" t="str">
        <f aca="false">IF(AND(B344&lt;&gt;"",I344&lt;&gt;"",F344&lt;&gt;""),IF(E344="Long",(I344-F344)*20,(F344-I344)*20),"")</f>
        <v/>
      </c>
      <c r="L344" s="7" t="str">
        <f aca="false">IF(AND(K344&lt;&gt;"",J344&lt;&gt;""),K344*J344,"")</f>
        <v/>
      </c>
      <c r="M344" s="8" t="str">
        <f aca="false">IF(AND(F344&lt;&gt;"",G344&lt;&gt;"",H344&lt;&gt;""),IF(E344="Long",(H344-F344)/(F344-G344),(F344-H344)/(G344-F344)),"")</f>
        <v/>
      </c>
      <c r="N344" s="8" t="str">
        <f aca="false">IF(AND(F344&lt;&gt;"",G344&lt;&gt;"",I344&lt;&gt;""),IF(E344="Long",(I344-F344)/(F344-G344),(F344-I344)/(G344-F344)),"")</f>
        <v/>
      </c>
      <c r="O344" s="4" t="str">
        <f aca="false">IF(L344="","",IF(L344&gt;0,"Win",IF(L344&lt;0,"Loss","Break Even")))</f>
        <v/>
      </c>
      <c r="P344" s="4"/>
      <c r="Q344" s="4"/>
      <c r="R344" s="4"/>
    </row>
    <row r="345" customFormat="false" ht="15" hidden="false" customHeight="false" outlineLevel="0" collapsed="false">
      <c r="A345" s="9" t="str">
        <f aca="false">IF(B345&lt;&gt;"",ROW()-3,"")</f>
        <v/>
      </c>
      <c r="B345" s="10"/>
      <c r="C345" s="9" t="str">
        <f aca="false">IF(B345&lt;&gt;"",TEXT(B345,"DDDD"),"")</f>
        <v/>
      </c>
      <c r="D345" s="9"/>
      <c r="E345" s="9"/>
      <c r="F345" s="9"/>
      <c r="G345" s="9"/>
      <c r="H345" s="9"/>
      <c r="I345" s="9"/>
      <c r="J345" s="9"/>
      <c r="K345" s="11" t="str">
        <f aca="false">IF(AND(B345&lt;&gt;"",I345&lt;&gt;"",F345&lt;&gt;""),IF(E345="Long",(I345-F345)*20,(F345-I345)*20),"")</f>
        <v/>
      </c>
      <c r="L345" s="12" t="str">
        <f aca="false">IF(AND(K345&lt;&gt;"",J345&lt;&gt;""),K345*J345,"")</f>
        <v/>
      </c>
      <c r="M345" s="13" t="str">
        <f aca="false">IF(AND(F345&lt;&gt;"",G345&lt;&gt;"",H345&lt;&gt;""),IF(E345="Long",(H345-F345)/(F345-G345),(F345-H345)/(G345-F345)),"")</f>
        <v/>
      </c>
      <c r="N345" s="13" t="str">
        <f aca="false">IF(AND(F345&lt;&gt;"",G345&lt;&gt;"",I345&lt;&gt;""),IF(E345="Long",(I345-F345)/(F345-G345),(F345-I345)/(G345-F345)),"")</f>
        <v/>
      </c>
      <c r="O345" s="9" t="str">
        <f aca="false">IF(L345="","",IF(L345&gt;0,"Win",IF(L345&lt;0,"Loss","Break Even")))</f>
        <v/>
      </c>
      <c r="P345" s="9"/>
      <c r="Q345" s="9"/>
      <c r="R345" s="9"/>
    </row>
    <row r="346" customFormat="false" ht="15" hidden="false" customHeight="false" outlineLevel="0" collapsed="false">
      <c r="A346" s="4" t="str">
        <f aca="false">IF(B346&lt;&gt;"",ROW()-3,"")</f>
        <v/>
      </c>
      <c r="B346" s="5"/>
      <c r="C346" s="4" t="str">
        <f aca="false">IF(B346&lt;&gt;"",TEXT(B346,"DDDD"),"")</f>
        <v/>
      </c>
      <c r="D346" s="4"/>
      <c r="E346" s="4"/>
      <c r="F346" s="4"/>
      <c r="G346" s="4"/>
      <c r="H346" s="4"/>
      <c r="I346" s="4"/>
      <c r="J346" s="4"/>
      <c r="K346" s="6" t="str">
        <f aca="false">IF(AND(B346&lt;&gt;"",I346&lt;&gt;"",F346&lt;&gt;""),IF(E346="Long",(I346-F346)*20,(F346-I346)*20),"")</f>
        <v/>
      </c>
      <c r="L346" s="7" t="str">
        <f aca="false">IF(AND(K346&lt;&gt;"",J346&lt;&gt;""),K346*J346,"")</f>
        <v/>
      </c>
      <c r="M346" s="8" t="str">
        <f aca="false">IF(AND(F346&lt;&gt;"",G346&lt;&gt;"",H346&lt;&gt;""),IF(E346="Long",(H346-F346)/(F346-G346),(F346-H346)/(G346-F346)),"")</f>
        <v/>
      </c>
      <c r="N346" s="8" t="str">
        <f aca="false">IF(AND(F346&lt;&gt;"",G346&lt;&gt;"",I346&lt;&gt;""),IF(E346="Long",(I346-F346)/(F346-G346),(F346-I346)/(G346-F346)),"")</f>
        <v/>
      </c>
      <c r="O346" s="4" t="str">
        <f aca="false">IF(L346="","",IF(L346&gt;0,"Win",IF(L346&lt;0,"Loss","Break Even")))</f>
        <v/>
      </c>
      <c r="P346" s="4"/>
      <c r="Q346" s="4"/>
      <c r="R346" s="4"/>
    </row>
    <row r="347" customFormat="false" ht="15" hidden="false" customHeight="false" outlineLevel="0" collapsed="false">
      <c r="A347" s="9" t="str">
        <f aca="false">IF(B347&lt;&gt;"",ROW()-3,"")</f>
        <v/>
      </c>
      <c r="B347" s="10"/>
      <c r="C347" s="9" t="str">
        <f aca="false">IF(B347&lt;&gt;"",TEXT(B347,"DDDD"),"")</f>
        <v/>
      </c>
      <c r="D347" s="9"/>
      <c r="E347" s="9"/>
      <c r="F347" s="9"/>
      <c r="G347" s="9"/>
      <c r="H347" s="9"/>
      <c r="I347" s="9"/>
      <c r="J347" s="9"/>
      <c r="K347" s="11" t="str">
        <f aca="false">IF(AND(B347&lt;&gt;"",I347&lt;&gt;"",F347&lt;&gt;""),IF(E347="Long",(I347-F347)*20,(F347-I347)*20),"")</f>
        <v/>
      </c>
      <c r="L347" s="12" t="str">
        <f aca="false">IF(AND(K347&lt;&gt;"",J347&lt;&gt;""),K347*J347,"")</f>
        <v/>
      </c>
      <c r="M347" s="13" t="str">
        <f aca="false">IF(AND(F347&lt;&gt;"",G347&lt;&gt;"",H347&lt;&gt;""),IF(E347="Long",(H347-F347)/(F347-G347),(F347-H347)/(G347-F347)),"")</f>
        <v/>
      </c>
      <c r="N347" s="13" t="str">
        <f aca="false">IF(AND(F347&lt;&gt;"",G347&lt;&gt;"",I347&lt;&gt;""),IF(E347="Long",(I347-F347)/(F347-G347),(F347-I347)/(G347-F347)),"")</f>
        <v/>
      </c>
      <c r="O347" s="9" t="str">
        <f aca="false">IF(L347="","",IF(L347&gt;0,"Win",IF(L347&lt;0,"Loss","Break Even")))</f>
        <v/>
      </c>
      <c r="P347" s="9"/>
      <c r="Q347" s="9"/>
      <c r="R347" s="9"/>
    </row>
    <row r="348" customFormat="false" ht="15" hidden="false" customHeight="false" outlineLevel="0" collapsed="false">
      <c r="A348" s="4" t="str">
        <f aca="false">IF(B348&lt;&gt;"",ROW()-3,"")</f>
        <v/>
      </c>
      <c r="B348" s="5"/>
      <c r="C348" s="4" t="str">
        <f aca="false">IF(B348&lt;&gt;"",TEXT(B348,"DDDD"),"")</f>
        <v/>
      </c>
      <c r="D348" s="4"/>
      <c r="E348" s="4"/>
      <c r="F348" s="4"/>
      <c r="G348" s="4"/>
      <c r="H348" s="4"/>
      <c r="I348" s="4"/>
      <c r="J348" s="4"/>
      <c r="K348" s="6" t="str">
        <f aca="false">IF(AND(B348&lt;&gt;"",I348&lt;&gt;"",F348&lt;&gt;""),IF(E348="Long",(I348-F348)*20,(F348-I348)*20),"")</f>
        <v/>
      </c>
      <c r="L348" s="7" t="str">
        <f aca="false">IF(AND(K348&lt;&gt;"",J348&lt;&gt;""),K348*J348,"")</f>
        <v/>
      </c>
      <c r="M348" s="8" t="str">
        <f aca="false">IF(AND(F348&lt;&gt;"",G348&lt;&gt;"",H348&lt;&gt;""),IF(E348="Long",(H348-F348)/(F348-G348),(F348-H348)/(G348-F348)),"")</f>
        <v/>
      </c>
      <c r="N348" s="8" t="str">
        <f aca="false">IF(AND(F348&lt;&gt;"",G348&lt;&gt;"",I348&lt;&gt;""),IF(E348="Long",(I348-F348)/(F348-G348),(F348-I348)/(G348-F348)),"")</f>
        <v/>
      </c>
      <c r="O348" s="4" t="str">
        <f aca="false">IF(L348="","",IF(L348&gt;0,"Win",IF(L348&lt;0,"Loss","Break Even")))</f>
        <v/>
      </c>
      <c r="P348" s="4"/>
      <c r="Q348" s="4"/>
      <c r="R348" s="4"/>
    </row>
    <row r="349" customFormat="false" ht="15" hidden="false" customHeight="false" outlineLevel="0" collapsed="false">
      <c r="A349" s="9" t="str">
        <f aca="false">IF(B349&lt;&gt;"",ROW()-3,"")</f>
        <v/>
      </c>
      <c r="B349" s="10"/>
      <c r="C349" s="9" t="str">
        <f aca="false">IF(B349&lt;&gt;"",TEXT(B349,"DDDD"),"")</f>
        <v/>
      </c>
      <c r="D349" s="9"/>
      <c r="E349" s="9"/>
      <c r="F349" s="9"/>
      <c r="G349" s="9"/>
      <c r="H349" s="9"/>
      <c r="I349" s="9"/>
      <c r="J349" s="9"/>
      <c r="K349" s="11" t="str">
        <f aca="false">IF(AND(B349&lt;&gt;"",I349&lt;&gt;"",F349&lt;&gt;""),IF(E349="Long",(I349-F349)*20,(F349-I349)*20),"")</f>
        <v/>
      </c>
      <c r="L349" s="12" t="str">
        <f aca="false">IF(AND(K349&lt;&gt;"",J349&lt;&gt;""),K349*J349,"")</f>
        <v/>
      </c>
      <c r="M349" s="13" t="str">
        <f aca="false">IF(AND(F349&lt;&gt;"",G349&lt;&gt;"",H349&lt;&gt;""),IF(E349="Long",(H349-F349)/(F349-G349),(F349-H349)/(G349-F349)),"")</f>
        <v/>
      </c>
      <c r="N349" s="13" t="str">
        <f aca="false">IF(AND(F349&lt;&gt;"",G349&lt;&gt;"",I349&lt;&gt;""),IF(E349="Long",(I349-F349)/(F349-G349),(F349-I349)/(G349-F349)),"")</f>
        <v/>
      </c>
      <c r="O349" s="9" t="str">
        <f aca="false">IF(L349="","",IF(L349&gt;0,"Win",IF(L349&lt;0,"Loss","Break Even")))</f>
        <v/>
      </c>
      <c r="P349" s="9"/>
      <c r="Q349" s="9"/>
      <c r="R349" s="9"/>
    </row>
    <row r="350" customFormat="false" ht="15" hidden="false" customHeight="false" outlineLevel="0" collapsed="false">
      <c r="A350" s="4" t="str">
        <f aca="false">IF(B350&lt;&gt;"",ROW()-3,"")</f>
        <v/>
      </c>
      <c r="B350" s="5"/>
      <c r="C350" s="4" t="str">
        <f aca="false">IF(B350&lt;&gt;"",TEXT(B350,"DDDD"),"")</f>
        <v/>
      </c>
      <c r="D350" s="4"/>
      <c r="E350" s="4"/>
      <c r="F350" s="4"/>
      <c r="G350" s="4"/>
      <c r="H350" s="4"/>
      <c r="I350" s="4"/>
      <c r="J350" s="4"/>
      <c r="K350" s="6" t="str">
        <f aca="false">IF(AND(B350&lt;&gt;"",I350&lt;&gt;"",F350&lt;&gt;""),IF(E350="Long",(I350-F350)*20,(F350-I350)*20),"")</f>
        <v/>
      </c>
      <c r="L350" s="7" t="str">
        <f aca="false">IF(AND(K350&lt;&gt;"",J350&lt;&gt;""),K350*J350,"")</f>
        <v/>
      </c>
      <c r="M350" s="8" t="str">
        <f aca="false">IF(AND(F350&lt;&gt;"",G350&lt;&gt;"",H350&lt;&gt;""),IF(E350="Long",(H350-F350)/(F350-G350),(F350-H350)/(G350-F350)),"")</f>
        <v/>
      </c>
      <c r="N350" s="8" t="str">
        <f aca="false">IF(AND(F350&lt;&gt;"",G350&lt;&gt;"",I350&lt;&gt;""),IF(E350="Long",(I350-F350)/(F350-G350),(F350-I350)/(G350-F350)),"")</f>
        <v/>
      </c>
      <c r="O350" s="4" t="str">
        <f aca="false">IF(L350="","",IF(L350&gt;0,"Win",IF(L350&lt;0,"Loss","Break Even")))</f>
        <v/>
      </c>
      <c r="P350" s="4"/>
      <c r="Q350" s="4"/>
      <c r="R350" s="4"/>
    </row>
    <row r="351" customFormat="false" ht="15" hidden="false" customHeight="false" outlineLevel="0" collapsed="false">
      <c r="A351" s="9" t="str">
        <f aca="false">IF(B351&lt;&gt;"",ROW()-3,"")</f>
        <v/>
      </c>
      <c r="B351" s="10"/>
      <c r="C351" s="9" t="str">
        <f aca="false">IF(B351&lt;&gt;"",TEXT(B351,"DDDD"),"")</f>
        <v/>
      </c>
      <c r="D351" s="9"/>
      <c r="E351" s="9"/>
      <c r="F351" s="9"/>
      <c r="G351" s="9"/>
      <c r="H351" s="9"/>
      <c r="I351" s="9"/>
      <c r="J351" s="9"/>
      <c r="K351" s="11" t="str">
        <f aca="false">IF(AND(B351&lt;&gt;"",I351&lt;&gt;"",F351&lt;&gt;""),IF(E351="Long",(I351-F351)*20,(F351-I351)*20),"")</f>
        <v/>
      </c>
      <c r="L351" s="12" t="str">
        <f aca="false">IF(AND(K351&lt;&gt;"",J351&lt;&gt;""),K351*J351,"")</f>
        <v/>
      </c>
      <c r="M351" s="13" t="str">
        <f aca="false">IF(AND(F351&lt;&gt;"",G351&lt;&gt;"",H351&lt;&gt;""),IF(E351="Long",(H351-F351)/(F351-G351),(F351-H351)/(G351-F351)),"")</f>
        <v/>
      </c>
      <c r="N351" s="13" t="str">
        <f aca="false">IF(AND(F351&lt;&gt;"",G351&lt;&gt;"",I351&lt;&gt;""),IF(E351="Long",(I351-F351)/(F351-G351),(F351-I351)/(G351-F351)),"")</f>
        <v/>
      </c>
      <c r="O351" s="9" t="str">
        <f aca="false">IF(L351="","",IF(L351&gt;0,"Win",IF(L351&lt;0,"Loss","Break Even")))</f>
        <v/>
      </c>
      <c r="P351" s="9"/>
      <c r="Q351" s="9"/>
      <c r="R351" s="9"/>
    </row>
    <row r="352" customFormat="false" ht="15" hidden="false" customHeight="false" outlineLevel="0" collapsed="false">
      <c r="A352" s="4" t="str">
        <f aca="false">IF(B352&lt;&gt;"",ROW()-3,"")</f>
        <v/>
      </c>
      <c r="B352" s="5"/>
      <c r="C352" s="4" t="str">
        <f aca="false">IF(B352&lt;&gt;"",TEXT(B352,"DDDD"),"")</f>
        <v/>
      </c>
      <c r="D352" s="4"/>
      <c r="E352" s="4"/>
      <c r="F352" s="4"/>
      <c r="G352" s="4"/>
      <c r="H352" s="4"/>
      <c r="I352" s="4"/>
      <c r="J352" s="4"/>
      <c r="K352" s="6" t="str">
        <f aca="false">IF(AND(B352&lt;&gt;"",I352&lt;&gt;"",F352&lt;&gt;""),IF(E352="Long",(I352-F352)*20,(F352-I352)*20),"")</f>
        <v/>
      </c>
      <c r="L352" s="7" t="str">
        <f aca="false">IF(AND(K352&lt;&gt;"",J352&lt;&gt;""),K352*J352,"")</f>
        <v/>
      </c>
      <c r="M352" s="8" t="str">
        <f aca="false">IF(AND(F352&lt;&gt;"",G352&lt;&gt;"",H352&lt;&gt;""),IF(E352="Long",(H352-F352)/(F352-G352),(F352-H352)/(G352-F352)),"")</f>
        <v/>
      </c>
      <c r="N352" s="8" t="str">
        <f aca="false">IF(AND(F352&lt;&gt;"",G352&lt;&gt;"",I352&lt;&gt;""),IF(E352="Long",(I352-F352)/(F352-G352),(F352-I352)/(G352-F352)),"")</f>
        <v/>
      </c>
      <c r="O352" s="4" t="str">
        <f aca="false">IF(L352="","",IF(L352&gt;0,"Win",IF(L352&lt;0,"Loss","Break Even")))</f>
        <v/>
      </c>
      <c r="P352" s="4"/>
      <c r="Q352" s="4"/>
      <c r="R352" s="4"/>
    </row>
    <row r="353" customFormat="false" ht="15" hidden="false" customHeight="false" outlineLevel="0" collapsed="false">
      <c r="A353" s="9" t="str">
        <f aca="false">IF(B353&lt;&gt;"",ROW()-3,"")</f>
        <v/>
      </c>
      <c r="B353" s="10"/>
      <c r="C353" s="9" t="str">
        <f aca="false">IF(B353&lt;&gt;"",TEXT(B353,"DDDD"),"")</f>
        <v/>
      </c>
      <c r="D353" s="9"/>
      <c r="E353" s="9"/>
      <c r="F353" s="9"/>
      <c r="G353" s="9"/>
      <c r="H353" s="9"/>
      <c r="I353" s="9"/>
      <c r="J353" s="9"/>
      <c r="K353" s="11" t="str">
        <f aca="false">IF(AND(B353&lt;&gt;"",I353&lt;&gt;"",F353&lt;&gt;""),IF(E353="Long",(I353-F353)*20,(F353-I353)*20),"")</f>
        <v/>
      </c>
      <c r="L353" s="12" t="str">
        <f aca="false">IF(AND(K353&lt;&gt;"",J353&lt;&gt;""),K353*J353,"")</f>
        <v/>
      </c>
      <c r="M353" s="13" t="str">
        <f aca="false">IF(AND(F353&lt;&gt;"",G353&lt;&gt;"",H353&lt;&gt;""),IF(E353="Long",(H353-F353)/(F353-G353),(F353-H353)/(G353-F353)),"")</f>
        <v/>
      </c>
      <c r="N353" s="13" t="str">
        <f aca="false">IF(AND(F353&lt;&gt;"",G353&lt;&gt;"",I353&lt;&gt;""),IF(E353="Long",(I353-F353)/(F353-G353),(F353-I353)/(G353-F353)),"")</f>
        <v/>
      </c>
      <c r="O353" s="9" t="str">
        <f aca="false">IF(L353="","",IF(L353&gt;0,"Win",IF(L353&lt;0,"Loss","Break Even")))</f>
        <v/>
      </c>
      <c r="P353" s="9"/>
      <c r="Q353" s="9"/>
      <c r="R353" s="9"/>
    </row>
    <row r="354" customFormat="false" ht="15" hidden="false" customHeight="false" outlineLevel="0" collapsed="false">
      <c r="A354" s="4" t="str">
        <f aca="false">IF(B354&lt;&gt;"",ROW()-3,"")</f>
        <v/>
      </c>
      <c r="B354" s="5"/>
      <c r="C354" s="4" t="str">
        <f aca="false">IF(B354&lt;&gt;"",TEXT(B354,"DDDD"),"")</f>
        <v/>
      </c>
      <c r="D354" s="4"/>
      <c r="E354" s="4"/>
      <c r="F354" s="4"/>
      <c r="G354" s="4"/>
      <c r="H354" s="4"/>
      <c r="I354" s="4"/>
      <c r="J354" s="4"/>
      <c r="K354" s="6" t="str">
        <f aca="false">IF(AND(B354&lt;&gt;"",I354&lt;&gt;"",F354&lt;&gt;""),IF(E354="Long",(I354-F354)*20,(F354-I354)*20),"")</f>
        <v/>
      </c>
      <c r="L354" s="7" t="str">
        <f aca="false">IF(AND(K354&lt;&gt;"",J354&lt;&gt;""),K354*J354,"")</f>
        <v/>
      </c>
      <c r="M354" s="8" t="str">
        <f aca="false">IF(AND(F354&lt;&gt;"",G354&lt;&gt;"",H354&lt;&gt;""),IF(E354="Long",(H354-F354)/(F354-G354),(F354-H354)/(G354-F354)),"")</f>
        <v/>
      </c>
      <c r="N354" s="8" t="str">
        <f aca="false">IF(AND(F354&lt;&gt;"",G354&lt;&gt;"",I354&lt;&gt;""),IF(E354="Long",(I354-F354)/(F354-G354),(F354-I354)/(G354-F354)),"")</f>
        <v/>
      </c>
      <c r="O354" s="4" t="str">
        <f aca="false">IF(L354="","",IF(L354&gt;0,"Win",IF(L354&lt;0,"Loss","Break Even")))</f>
        <v/>
      </c>
      <c r="P354" s="4"/>
      <c r="Q354" s="4"/>
      <c r="R354" s="4"/>
    </row>
    <row r="355" customFormat="false" ht="15" hidden="false" customHeight="false" outlineLevel="0" collapsed="false">
      <c r="A355" s="9" t="str">
        <f aca="false">IF(B355&lt;&gt;"",ROW()-3,"")</f>
        <v/>
      </c>
      <c r="B355" s="10"/>
      <c r="C355" s="9" t="str">
        <f aca="false">IF(B355&lt;&gt;"",TEXT(B355,"DDDD"),"")</f>
        <v/>
      </c>
      <c r="D355" s="9"/>
      <c r="E355" s="9"/>
      <c r="F355" s="9"/>
      <c r="G355" s="9"/>
      <c r="H355" s="9"/>
      <c r="I355" s="9"/>
      <c r="J355" s="9"/>
      <c r="K355" s="11" t="str">
        <f aca="false">IF(AND(B355&lt;&gt;"",I355&lt;&gt;"",F355&lt;&gt;""),IF(E355="Long",(I355-F355)*20,(F355-I355)*20),"")</f>
        <v/>
      </c>
      <c r="L355" s="12" t="str">
        <f aca="false">IF(AND(K355&lt;&gt;"",J355&lt;&gt;""),K355*J355,"")</f>
        <v/>
      </c>
      <c r="M355" s="13" t="str">
        <f aca="false">IF(AND(F355&lt;&gt;"",G355&lt;&gt;"",H355&lt;&gt;""),IF(E355="Long",(H355-F355)/(F355-G355),(F355-H355)/(G355-F355)),"")</f>
        <v/>
      </c>
      <c r="N355" s="13" t="str">
        <f aca="false">IF(AND(F355&lt;&gt;"",G355&lt;&gt;"",I355&lt;&gt;""),IF(E355="Long",(I355-F355)/(F355-G355),(F355-I355)/(G355-F355)),"")</f>
        <v/>
      </c>
      <c r="O355" s="9" t="str">
        <f aca="false">IF(L355="","",IF(L355&gt;0,"Win",IF(L355&lt;0,"Loss","Break Even")))</f>
        <v/>
      </c>
      <c r="P355" s="9"/>
      <c r="Q355" s="9"/>
      <c r="R355" s="9"/>
    </row>
    <row r="356" customFormat="false" ht="15" hidden="false" customHeight="false" outlineLevel="0" collapsed="false">
      <c r="A356" s="4" t="str">
        <f aca="false">IF(B356&lt;&gt;"",ROW()-3,"")</f>
        <v/>
      </c>
      <c r="B356" s="5"/>
      <c r="C356" s="4" t="str">
        <f aca="false">IF(B356&lt;&gt;"",TEXT(B356,"DDDD"),"")</f>
        <v/>
      </c>
      <c r="D356" s="4"/>
      <c r="E356" s="4"/>
      <c r="F356" s="4"/>
      <c r="G356" s="4"/>
      <c r="H356" s="4"/>
      <c r="I356" s="4"/>
      <c r="J356" s="4"/>
      <c r="K356" s="6" t="str">
        <f aca="false">IF(AND(B356&lt;&gt;"",I356&lt;&gt;"",F356&lt;&gt;""),IF(E356="Long",(I356-F356)*20,(F356-I356)*20),"")</f>
        <v/>
      </c>
      <c r="L356" s="7" t="str">
        <f aca="false">IF(AND(K356&lt;&gt;"",J356&lt;&gt;""),K356*J356,"")</f>
        <v/>
      </c>
      <c r="M356" s="8" t="str">
        <f aca="false">IF(AND(F356&lt;&gt;"",G356&lt;&gt;"",H356&lt;&gt;""),IF(E356="Long",(H356-F356)/(F356-G356),(F356-H356)/(G356-F356)),"")</f>
        <v/>
      </c>
      <c r="N356" s="8" t="str">
        <f aca="false">IF(AND(F356&lt;&gt;"",G356&lt;&gt;"",I356&lt;&gt;""),IF(E356="Long",(I356-F356)/(F356-G356),(F356-I356)/(G356-F356)),"")</f>
        <v/>
      </c>
      <c r="O356" s="4" t="str">
        <f aca="false">IF(L356="","",IF(L356&gt;0,"Win",IF(L356&lt;0,"Loss","Break Even")))</f>
        <v/>
      </c>
      <c r="P356" s="4"/>
      <c r="Q356" s="4"/>
      <c r="R356" s="4"/>
    </row>
    <row r="357" customFormat="false" ht="15" hidden="false" customHeight="false" outlineLevel="0" collapsed="false">
      <c r="A357" s="9" t="str">
        <f aca="false">IF(B357&lt;&gt;"",ROW()-3,"")</f>
        <v/>
      </c>
      <c r="B357" s="10"/>
      <c r="C357" s="9" t="str">
        <f aca="false">IF(B357&lt;&gt;"",TEXT(B357,"DDDD"),"")</f>
        <v/>
      </c>
      <c r="D357" s="9"/>
      <c r="E357" s="9"/>
      <c r="F357" s="9"/>
      <c r="G357" s="9"/>
      <c r="H357" s="9"/>
      <c r="I357" s="9"/>
      <c r="J357" s="9"/>
      <c r="K357" s="11" t="str">
        <f aca="false">IF(AND(B357&lt;&gt;"",I357&lt;&gt;"",F357&lt;&gt;""),IF(E357="Long",(I357-F357)*20,(F357-I357)*20),"")</f>
        <v/>
      </c>
      <c r="L357" s="12" t="str">
        <f aca="false">IF(AND(K357&lt;&gt;"",J357&lt;&gt;""),K357*J357,"")</f>
        <v/>
      </c>
      <c r="M357" s="13" t="str">
        <f aca="false">IF(AND(F357&lt;&gt;"",G357&lt;&gt;"",H357&lt;&gt;""),IF(E357="Long",(H357-F357)/(F357-G357),(F357-H357)/(G357-F357)),"")</f>
        <v/>
      </c>
      <c r="N357" s="13" t="str">
        <f aca="false">IF(AND(F357&lt;&gt;"",G357&lt;&gt;"",I357&lt;&gt;""),IF(E357="Long",(I357-F357)/(F357-G357),(F357-I357)/(G357-F357)),"")</f>
        <v/>
      </c>
      <c r="O357" s="9" t="str">
        <f aca="false">IF(L357="","",IF(L357&gt;0,"Win",IF(L357&lt;0,"Loss","Break Even")))</f>
        <v/>
      </c>
      <c r="P357" s="9"/>
      <c r="Q357" s="9"/>
      <c r="R357" s="9"/>
    </row>
    <row r="358" customFormat="false" ht="15" hidden="false" customHeight="false" outlineLevel="0" collapsed="false">
      <c r="A358" s="4" t="str">
        <f aca="false">IF(B358&lt;&gt;"",ROW()-3,"")</f>
        <v/>
      </c>
      <c r="B358" s="5"/>
      <c r="C358" s="4" t="str">
        <f aca="false">IF(B358&lt;&gt;"",TEXT(B358,"DDDD"),"")</f>
        <v/>
      </c>
      <c r="D358" s="4"/>
      <c r="E358" s="4"/>
      <c r="F358" s="4"/>
      <c r="G358" s="4"/>
      <c r="H358" s="4"/>
      <c r="I358" s="4"/>
      <c r="J358" s="4"/>
      <c r="K358" s="6" t="str">
        <f aca="false">IF(AND(B358&lt;&gt;"",I358&lt;&gt;"",F358&lt;&gt;""),IF(E358="Long",(I358-F358)*20,(F358-I358)*20),"")</f>
        <v/>
      </c>
      <c r="L358" s="7" t="str">
        <f aca="false">IF(AND(K358&lt;&gt;"",J358&lt;&gt;""),K358*J358,"")</f>
        <v/>
      </c>
      <c r="M358" s="8" t="str">
        <f aca="false">IF(AND(F358&lt;&gt;"",G358&lt;&gt;"",H358&lt;&gt;""),IF(E358="Long",(H358-F358)/(F358-G358),(F358-H358)/(G358-F358)),"")</f>
        <v/>
      </c>
      <c r="N358" s="8" t="str">
        <f aca="false">IF(AND(F358&lt;&gt;"",G358&lt;&gt;"",I358&lt;&gt;""),IF(E358="Long",(I358-F358)/(F358-G358),(F358-I358)/(G358-F358)),"")</f>
        <v/>
      </c>
      <c r="O358" s="4" t="str">
        <f aca="false">IF(L358="","",IF(L358&gt;0,"Win",IF(L358&lt;0,"Loss","Break Even")))</f>
        <v/>
      </c>
      <c r="P358" s="4"/>
      <c r="Q358" s="4"/>
      <c r="R358" s="4"/>
    </row>
    <row r="359" customFormat="false" ht="15" hidden="false" customHeight="false" outlineLevel="0" collapsed="false">
      <c r="A359" s="9" t="str">
        <f aca="false">IF(B359&lt;&gt;"",ROW()-3,"")</f>
        <v/>
      </c>
      <c r="B359" s="10"/>
      <c r="C359" s="9" t="str">
        <f aca="false">IF(B359&lt;&gt;"",TEXT(B359,"DDDD"),"")</f>
        <v/>
      </c>
      <c r="D359" s="9"/>
      <c r="E359" s="9"/>
      <c r="F359" s="9"/>
      <c r="G359" s="9"/>
      <c r="H359" s="9"/>
      <c r="I359" s="9"/>
      <c r="J359" s="9"/>
      <c r="K359" s="11" t="str">
        <f aca="false">IF(AND(B359&lt;&gt;"",I359&lt;&gt;"",F359&lt;&gt;""),IF(E359="Long",(I359-F359)*20,(F359-I359)*20),"")</f>
        <v/>
      </c>
      <c r="L359" s="12" t="str">
        <f aca="false">IF(AND(K359&lt;&gt;"",J359&lt;&gt;""),K359*J359,"")</f>
        <v/>
      </c>
      <c r="M359" s="13" t="str">
        <f aca="false">IF(AND(F359&lt;&gt;"",G359&lt;&gt;"",H359&lt;&gt;""),IF(E359="Long",(H359-F359)/(F359-G359),(F359-H359)/(G359-F359)),"")</f>
        <v/>
      </c>
      <c r="N359" s="13" t="str">
        <f aca="false">IF(AND(F359&lt;&gt;"",G359&lt;&gt;"",I359&lt;&gt;""),IF(E359="Long",(I359-F359)/(F359-G359),(F359-I359)/(G359-F359)),"")</f>
        <v/>
      </c>
      <c r="O359" s="9" t="str">
        <f aca="false">IF(L359="","",IF(L359&gt;0,"Win",IF(L359&lt;0,"Loss","Break Even")))</f>
        <v/>
      </c>
      <c r="P359" s="9"/>
      <c r="Q359" s="9"/>
      <c r="R359" s="9"/>
    </row>
    <row r="360" customFormat="false" ht="15" hidden="false" customHeight="false" outlineLevel="0" collapsed="false">
      <c r="A360" s="4" t="str">
        <f aca="false">IF(B360&lt;&gt;"",ROW()-3,"")</f>
        <v/>
      </c>
      <c r="B360" s="5"/>
      <c r="C360" s="4" t="str">
        <f aca="false">IF(B360&lt;&gt;"",TEXT(B360,"DDDD"),"")</f>
        <v/>
      </c>
      <c r="D360" s="4"/>
      <c r="E360" s="4"/>
      <c r="F360" s="4"/>
      <c r="G360" s="4"/>
      <c r="H360" s="4"/>
      <c r="I360" s="4"/>
      <c r="J360" s="4"/>
      <c r="K360" s="6" t="str">
        <f aca="false">IF(AND(B360&lt;&gt;"",I360&lt;&gt;"",F360&lt;&gt;""),IF(E360="Long",(I360-F360)*20,(F360-I360)*20),"")</f>
        <v/>
      </c>
      <c r="L360" s="7" t="str">
        <f aca="false">IF(AND(K360&lt;&gt;"",J360&lt;&gt;""),K360*J360,"")</f>
        <v/>
      </c>
      <c r="M360" s="8" t="str">
        <f aca="false">IF(AND(F360&lt;&gt;"",G360&lt;&gt;"",H360&lt;&gt;""),IF(E360="Long",(H360-F360)/(F360-G360),(F360-H360)/(G360-F360)),"")</f>
        <v/>
      </c>
      <c r="N360" s="8" t="str">
        <f aca="false">IF(AND(F360&lt;&gt;"",G360&lt;&gt;"",I360&lt;&gt;""),IF(E360="Long",(I360-F360)/(F360-G360),(F360-I360)/(G360-F360)),"")</f>
        <v/>
      </c>
      <c r="O360" s="4" t="str">
        <f aca="false">IF(L360="","",IF(L360&gt;0,"Win",IF(L360&lt;0,"Loss","Break Even")))</f>
        <v/>
      </c>
      <c r="P360" s="4"/>
      <c r="Q360" s="4"/>
      <c r="R360" s="4"/>
    </row>
    <row r="361" customFormat="false" ht="15" hidden="false" customHeight="false" outlineLevel="0" collapsed="false">
      <c r="A361" s="9" t="str">
        <f aca="false">IF(B361&lt;&gt;"",ROW()-3,"")</f>
        <v/>
      </c>
      <c r="B361" s="10"/>
      <c r="C361" s="9" t="str">
        <f aca="false">IF(B361&lt;&gt;"",TEXT(B361,"DDDD"),"")</f>
        <v/>
      </c>
      <c r="D361" s="9"/>
      <c r="E361" s="9"/>
      <c r="F361" s="9"/>
      <c r="G361" s="9"/>
      <c r="H361" s="9"/>
      <c r="I361" s="9"/>
      <c r="J361" s="9"/>
      <c r="K361" s="11" t="str">
        <f aca="false">IF(AND(B361&lt;&gt;"",I361&lt;&gt;"",F361&lt;&gt;""),IF(E361="Long",(I361-F361)*20,(F361-I361)*20),"")</f>
        <v/>
      </c>
      <c r="L361" s="12" t="str">
        <f aca="false">IF(AND(K361&lt;&gt;"",J361&lt;&gt;""),K361*J361,"")</f>
        <v/>
      </c>
      <c r="M361" s="13" t="str">
        <f aca="false">IF(AND(F361&lt;&gt;"",G361&lt;&gt;"",H361&lt;&gt;""),IF(E361="Long",(H361-F361)/(F361-G361),(F361-H361)/(G361-F361)),"")</f>
        <v/>
      </c>
      <c r="N361" s="13" t="str">
        <f aca="false">IF(AND(F361&lt;&gt;"",G361&lt;&gt;"",I361&lt;&gt;""),IF(E361="Long",(I361-F361)/(F361-G361),(F361-I361)/(G361-F361)),"")</f>
        <v/>
      </c>
      <c r="O361" s="9" t="str">
        <f aca="false">IF(L361="","",IF(L361&gt;0,"Win",IF(L361&lt;0,"Loss","Break Even")))</f>
        <v/>
      </c>
      <c r="P361" s="9"/>
      <c r="Q361" s="9"/>
      <c r="R361" s="9"/>
    </row>
    <row r="362" customFormat="false" ht="15" hidden="false" customHeight="false" outlineLevel="0" collapsed="false">
      <c r="A362" s="4" t="str">
        <f aca="false">IF(B362&lt;&gt;"",ROW()-3,"")</f>
        <v/>
      </c>
      <c r="B362" s="5"/>
      <c r="C362" s="4" t="str">
        <f aca="false">IF(B362&lt;&gt;"",TEXT(B362,"DDDD"),"")</f>
        <v/>
      </c>
      <c r="D362" s="4"/>
      <c r="E362" s="4"/>
      <c r="F362" s="4"/>
      <c r="G362" s="4"/>
      <c r="H362" s="4"/>
      <c r="I362" s="4"/>
      <c r="J362" s="4"/>
      <c r="K362" s="6" t="str">
        <f aca="false">IF(AND(B362&lt;&gt;"",I362&lt;&gt;"",F362&lt;&gt;""),IF(E362="Long",(I362-F362)*20,(F362-I362)*20),"")</f>
        <v/>
      </c>
      <c r="L362" s="7" t="str">
        <f aca="false">IF(AND(K362&lt;&gt;"",J362&lt;&gt;""),K362*J362,"")</f>
        <v/>
      </c>
      <c r="M362" s="8" t="str">
        <f aca="false">IF(AND(F362&lt;&gt;"",G362&lt;&gt;"",H362&lt;&gt;""),IF(E362="Long",(H362-F362)/(F362-G362),(F362-H362)/(G362-F362)),"")</f>
        <v/>
      </c>
      <c r="N362" s="8" t="str">
        <f aca="false">IF(AND(F362&lt;&gt;"",G362&lt;&gt;"",I362&lt;&gt;""),IF(E362="Long",(I362-F362)/(F362-G362),(F362-I362)/(G362-F362)),"")</f>
        <v/>
      </c>
      <c r="O362" s="4" t="str">
        <f aca="false">IF(L362="","",IF(L362&gt;0,"Win",IF(L362&lt;0,"Loss","Break Even")))</f>
        <v/>
      </c>
      <c r="P362" s="4"/>
      <c r="Q362" s="4"/>
      <c r="R362" s="4"/>
    </row>
    <row r="363" customFormat="false" ht="15" hidden="false" customHeight="false" outlineLevel="0" collapsed="false">
      <c r="A363" s="9" t="str">
        <f aca="false">IF(B363&lt;&gt;"",ROW()-3,"")</f>
        <v/>
      </c>
      <c r="B363" s="10"/>
      <c r="C363" s="9" t="str">
        <f aca="false">IF(B363&lt;&gt;"",TEXT(B363,"DDDD"),"")</f>
        <v/>
      </c>
      <c r="D363" s="9"/>
      <c r="E363" s="9"/>
      <c r="F363" s="9"/>
      <c r="G363" s="9"/>
      <c r="H363" s="9"/>
      <c r="I363" s="9"/>
      <c r="J363" s="9"/>
      <c r="K363" s="11" t="str">
        <f aca="false">IF(AND(B363&lt;&gt;"",I363&lt;&gt;"",F363&lt;&gt;""),IF(E363="Long",(I363-F363)*20,(F363-I363)*20),"")</f>
        <v/>
      </c>
      <c r="L363" s="12" t="str">
        <f aca="false">IF(AND(K363&lt;&gt;"",J363&lt;&gt;""),K363*J363,"")</f>
        <v/>
      </c>
      <c r="M363" s="13" t="str">
        <f aca="false">IF(AND(F363&lt;&gt;"",G363&lt;&gt;"",H363&lt;&gt;""),IF(E363="Long",(H363-F363)/(F363-G363),(F363-H363)/(G363-F363)),"")</f>
        <v/>
      </c>
      <c r="N363" s="13" t="str">
        <f aca="false">IF(AND(F363&lt;&gt;"",G363&lt;&gt;"",I363&lt;&gt;""),IF(E363="Long",(I363-F363)/(F363-G363),(F363-I363)/(G363-F363)),"")</f>
        <v/>
      </c>
      <c r="O363" s="9" t="str">
        <f aca="false">IF(L363="","",IF(L363&gt;0,"Win",IF(L363&lt;0,"Loss","Break Even")))</f>
        <v/>
      </c>
      <c r="P363" s="9"/>
      <c r="Q363" s="9"/>
      <c r="R363" s="9"/>
    </row>
    <row r="364" customFormat="false" ht="15" hidden="false" customHeight="false" outlineLevel="0" collapsed="false">
      <c r="A364" s="4" t="str">
        <f aca="false">IF(B364&lt;&gt;"",ROW()-3,"")</f>
        <v/>
      </c>
      <c r="B364" s="5"/>
      <c r="C364" s="4" t="str">
        <f aca="false">IF(B364&lt;&gt;"",TEXT(B364,"DDDD"),"")</f>
        <v/>
      </c>
      <c r="D364" s="4"/>
      <c r="E364" s="4"/>
      <c r="F364" s="4"/>
      <c r="G364" s="4"/>
      <c r="H364" s="4"/>
      <c r="I364" s="4"/>
      <c r="J364" s="4"/>
      <c r="K364" s="6" t="str">
        <f aca="false">IF(AND(B364&lt;&gt;"",I364&lt;&gt;"",F364&lt;&gt;""),IF(E364="Long",(I364-F364)*20,(F364-I364)*20),"")</f>
        <v/>
      </c>
      <c r="L364" s="7" t="str">
        <f aca="false">IF(AND(K364&lt;&gt;"",J364&lt;&gt;""),K364*J364,"")</f>
        <v/>
      </c>
      <c r="M364" s="8" t="str">
        <f aca="false">IF(AND(F364&lt;&gt;"",G364&lt;&gt;"",H364&lt;&gt;""),IF(E364="Long",(H364-F364)/(F364-G364),(F364-H364)/(G364-F364)),"")</f>
        <v/>
      </c>
      <c r="N364" s="8" t="str">
        <f aca="false">IF(AND(F364&lt;&gt;"",G364&lt;&gt;"",I364&lt;&gt;""),IF(E364="Long",(I364-F364)/(F364-G364),(F364-I364)/(G364-F364)),"")</f>
        <v/>
      </c>
      <c r="O364" s="4" t="str">
        <f aca="false">IF(L364="","",IF(L364&gt;0,"Win",IF(L364&lt;0,"Loss","Break Even")))</f>
        <v/>
      </c>
      <c r="P364" s="4"/>
      <c r="Q364" s="4"/>
      <c r="R364" s="4"/>
    </row>
    <row r="365" customFormat="false" ht="15" hidden="false" customHeight="false" outlineLevel="0" collapsed="false">
      <c r="A365" s="9" t="str">
        <f aca="false">IF(B365&lt;&gt;"",ROW()-3,"")</f>
        <v/>
      </c>
      <c r="B365" s="10"/>
      <c r="C365" s="9" t="str">
        <f aca="false">IF(B365&lt;&gt;"",TEXT(B365,"DDDD"),"")</f>
        <v/>
      </c>
      <c r="D365" s="9"/>
      <c r="E365" s="9"/>
      <c r="F365" s="9"/>
      <c r="G365" s="9"/>
      <c r="H365" s="9"/>
      <c r="I365" s="9"/>
      <c r="J365" s="9"/>
      <c r="K365" s="11" t="str">
        <f aca="false">IF(AND(B365&lt;&gt;"",I365&lt;&gt;"",F365&lt;&gt;""),IF(E365="Long",(I365-F365)*20,(F365-I365)*20),"")</f>
        <v/>
      </c>
      <c r="L365" s="12" t="str">
        <f aca="false">IF(AND(K365&lt;&gt;"",J365&lt;&gt;""),K365*J365,"")</f>
        <v/>
      </c>
      <c r="M365" s="13" t="str">
        <f aca="false">IF(AND(F365&lt;&gt;"",G365&lt;&gt;"",H365&lt;&gt;""),IF(E365="Long",(H365-F365)/(F365-G365),(F365-H365)/(G365-F365)),"")</f>
        <v/>
      </c>
      <c r="N365" s="13" t="str">
        <f aca="false">IF(AND(F365&lt;&gt;"",G365&lt;&gt;"",I365&lt;&gt;""),IF(E365="Long",(I365-F365)/(F365-G365),(F365-I365)/(G365-F365)),"")</f>
        <v/>
      </c>
      <c r="O365" s="9" t="str">
        <f aca="false">IF(L365="","",IF(L365&gt;0,"Win",IF(L365&lt;0,"Loss","Break Even")))</f>
        <v/>
      </c>
      <c r="P365" s="9"/>
      <c r="Q365" s="9"/>
      <c r="R365" s="9"/>
    </row>
    <row r="366" customFormat="false" ht="15" hidden="false" customHeight="false" outlineLevel="0" collapsed="false">
      <c r="A366" s="4" t="str">
        <f aca="false">IF(B366&lt;&gt;"",ROW()-3,"")</f>
        <v/>
      </c>
      <c r="B366" s="5"/>
      <c r="C366" s="4" t="str">
        <f aca="false">IF(B366&lt;&gt;"",TEXT(B366,"DDDD"),"")</f>
        <v/>
      </c>
      <c r="D366" s="4"/>
      <c r="E366" s="4"/>
      <c r="F366" s="4"/>
      <c r="G366" s="4"/>
      <c r="H366" s="4"/>
      <c r="I366" s="4"/>
      <c r="J366" s="4"/>
      <c r="K366" s="6" t="str">
        <f aca="false">IF(AND(B366&lt;&gt;"",I366&lt;&gt;"",F366&lt;&gt;""),IF(E366="Long",(I366-F366)*20,(F366-I366)*20),"")</f>
        <v/>
      </c>
      <c r="L366" s="7" t="str">
        <f aca="false">IF(AND(K366&lt;&gt;"",J366&lt;&gt;""),K366*J366,"")</f>
        <v/>
      </c>
      <c r="M366" s="8" t="str">
        <f aca="false">IF(AND(F366&lt;&gt;"",G366&lt;&gt;"",H366&lt;&gt;""),IF(E366="Long",(H366-F366)/(F366-G366),(F366-H366)/(G366-F366)),"")</f>
        <v/>
      </c>
      <c r="N366" s="8" t="str">
        <f aca="false">IF(AND(F366&lt;&gt;"",G366&lt;&gt;"",I366&lt;&gt;""),IF(E366="Long",(I366-F366)/(F366-G366),(F366-I366)/(G366-F366)),"")</f>
        <v/>
      </c>
      <c r="O366" s="4" t="str">
        <f aca="false">IF(L366="","",IF(L366&gt;0,"Win",IF(L366&lt;0,"Loss","Break Even")))</f>
        <v/>
      </c>
      <c r="P366" s="4"/>
      <c r="Q366" s="4"/>
      <c r="R366" s="4"/>
    </row>
    <row r="367" customFormat="false" ht="15" hidden="false" customHeight="false" outlineLevel="0" collapsed="false">
      <c r="A367" s="9" t="str">
        <f aca="false">IF(B367&lt;&gt;"",ROW()-3,"")</f>
        <v/>
      </c>
      <c r="B367" s="10"/>
      <c r="C367" s="9" t="str">
        <f aca="false">IF(B367&lt;&gt;"",TEXT(B367,"DDDD"),"")</f>
        <v/>
      </c>
      <c r="D367" s="9"/>
      <c r="E367" s="9"/>
      <c r="F367" s="9"/>
      <c r="G367" s="9"/>
      <c r="H367" s="9"/>
      <c r="I367" s="9"/>
      <c r="J367" s="9"/>
      <c r="K367" s="11" t="str">
        <f aca="false">IF(AND(B367&lt;&gt;"",I367&lt;&gt;"",F367&lt;&gt;""),IF(E367="Long",(I367-F367)*20,(F367-I367)*20),"")</f>
        <v/>
      </c>
      <c r="L367" s="12" t="str">
        <f aca="false">IF(AND(K367&lt;&gt;"",J367&lt;&gt;""),K367*J367,"")</f>
        <v/>
      </c>
      <c r="M367" s="13" t="str">
        <f aca="false">IF(AND(F367&lt;&gt;"",G367&lt;&gt;"",H367&lt;&gt;""),IF(E367="Long",(H367-F367)/(F367-G367),(F367-H367)/(G367-F367)),"")</f>
        <v/>
      </c>
      <c r="N367" s="13" t="str">
        <f aca="false">IF(AND(F367&lt;&gt;"",G367&lt;&gt;"",I367&lt;&gt;""),IF(E367="Long",(I367-F367)/(F367-G367),(F367-I367)/(G367-F367)),"")</f>
        <v/>
      </c>
      <c r="O367" s="9" t="str">
        <f aca="false">IF(L367="","",IF(L367&gt;0,"Win",IF(L367&lt;0,"Loss","Break Even")))</f>
        <v/>
      </c>
      <c r="P367" s="9"/>
      <c r="Q367" s="9"/>
      <c r="R367" s="9"/>
    </row>
    <row r="368" customFormat="false" ht="15" hidden="false" customHeight="false" outlineLevel="0" collapsed="false">
      <c r="A368" s="4" t="str">
        <f aca="false">IF(B368&lt;&gt;"",ROW()-3,"")</f>
        <v/>
      </c>
      <c r="B368" s="5"/>
      <c r="C368" s="4" t="str">
        <f aca="false">IF(B368&lt;&gt;"",TEXT(B368,"DDDD"),"")</f>
        <v/>
      </c>
      <c r="D368" s="4"/>
      <c r="E368" s="4"/>
      <c r="F368" s="4"/>
      <c r="G368" s="4"/>
      <c r="H368" s="4"/>
      <c r="I368" s="4"/>
      <c r="J368" s="4"/>
      <c r="K368" s="6" t="str">
        <f aca="false">IF(AND(B368&lt;&gt;"",I368&lt;&gt;"",F368&lt;&gt;""),IF(E368="Long",(I368-F368)*20,(F368-I368)*20),"")</f>
        <v/>
      </c>
      <c r="L368" s="7" t="str">
        <f aca="false">IF(AND(K368&lt;&gt;"",J368&lt;&gt;""),K368*J368,"")</f>
        <v/>
      </c>
      <c r="M368" s="8" t="str">
        <f aca="false">IF(AND(F368&lt;&gt;"",G368&lt;&gt;"",H368&lt;&gt;""),IF(E368="Long",(H368-F368)/(F368-G368),(F368-H368)/(G368-F368)),"")</f>
        <v/>
      </c>
      <c r="N368" s="8" t="str">
        <f aca="false">IF(AND(F368&lt;&gt;"",G368&lt;&gt;"",I368&lt;&gt;""),IF(E368="Long",(I368-F368)/(F368-G368),(F368-I368)/(G368-F368)),"")</f>
        <v/>
      </c>
      <c r="O368" s="4" t="str">
        <f aca="false">IF(L368="","",IF(L368&gt;0,"Win",IF(L368&lt;0,"Loss","Break Even")))</f>
        <v/>
      </c>
      <c r="P368" s="4"/>
      <c r="Q368" s="4"/>
      <c r="R368" s="4"/>
    </row>
    <row r="369" customFormat="false" ht="15" hidden="false" customHeight="false" outlineLevel="0" collapsed="false">
      <c r="A369" s="9" t="str">
        <f aca="false">IF(B369&lt;&gt;"",ROW()-3,"")</f>
        <v/>
      </c>
      <c r="B369" s="10"/>
      <c r="C369" s="9" t="str">
        <f aca="false">IF(B369&lt;&gt;"",TEXT(B369,"DDDD"),"")</f>
        <v/>
      </c>
      <c r="D369" s="9"/>
      <c r="E369" s="9"/>
      <c r="F369" s="9"/>
      <c r="G369" s="9"/>
      <c r="H369" s="9"/>
      <c r="I369" s="9"/>
      <c r="J369" s="9"/>
      <c r="K369" s="11" t="str">
        <f aca="false">IF(AND(B369&lt;&gt;"",I369&lt;&gt;"",F369&lt;&gt;""),IF(E369="Long",(I369-F369)*20,(F369-I369)*20),"")</f>
        <v/>
      </c>
      <c r="L369" s="12" t="str">
        <f aca="false">IF(AND(K369&lt;&gt;"",J369&lt;&gt;""),K369*J369,"")</f>
        <v/>
      </c>
      <c r="M369" s="13" t="str">
        <f aca="false">IF(AND(F369&lt;&gt;"",G369&lt;&gt;"",H369&lt;&gt;""),IF(E369="Long",(H369-F369)/(F369-G369),(F369-H369)/(G369-F369)),"")</f>
        <v/>
      </c>
      <c r="N369" s="13" t="str">
        <f aca="false">IF(AND(F369&lt;&gt;"",G369&lt;&gt;"",I369&lt;&gt;""),IF(E369="Long",(I369-F369)/(F369-G369),(F369-I369)/(G369-F369)),"")</f>
        <v/>
      </c>
      <c r="O369" s="9" t="str">
        <f aca="false">IF(L369="","",IF(L369&gt;0,"Win",IF(L369&lt;0,"Loss","Break Even")))</f>
        <v/>
      </c>
      <c r="P369" s="9"/>
      <c r="Q369" s="9"/>
      <c r="R369" s="9"/>
    </row>
    <row r="370" customFormat="false" ht="15" hidden="false" customHeight="false" outlineLevel="0" collapsed="false">
      <c r="A370" s="4" t="str">
        <f aca="false">IF(B370&lt;&gt;"",ROW()-3,"")</f>
        <v/>
      </c>
      <c r="B370" s="5"/>
      <c r="C370" s="4" t="str">
        <f aca="false">IF(B370&lt;&gt;"",TEXT(B370,"DDDD"),"")</f>
        <v/>
      </c>
      <c r="D370" s="4"/>
      <c r="E370" s="4"/>
      <c r="F370" s="4"/>
      <c r="G370" s="4"/>
      <c r="H370" s="4"/>
      <c r="I370" s="4"/>
      <c r="J370" s="4"/>
      <c r="K370" s="6" t="str">
        <f aca="false">IF(AND(B370&lt;&gt;"",I370&lt;&gt;"",F370&lt;&gt;""),IF(E370="Long",(I370-F370)*20,(F370-I370)*20),"")</f>
        <v/>
      </c>
      <c r="L370" s="7" t="str">
        <f aca="false">IF(AND(K370&lt;&gt;"",J370&lt;&gt;""),K370*J370,"")</f>
        <v/>
      </c>
      <c r="M370" s="8" t="str">
        <f aca="false">IF(AND(F370&lt;&gt;"",G370&lt;&gt;"",H370&lt;&gt;""),IF(E370="Long",(H370-F370)/(F370-G370),(F370-H370)/(G370-F370)),"")</f>
        <v/>
      </c>
      <c r="N370" s="8" t="str">
        <f aca="false">IF(AND(F370&lt;&gt;"",G370&lt;&gt;"",I370&lt;&gt;""),IF(E370="Long",(I370-F370)/(F370-G370),(F370-I370)/(G370-F370)),"")</f>
        <v/>
      </c>
      <c r="O370" s="4" t="str">
        <f aca="false">IF(L370="","",IF(L370&gt;0,"Win",IF(L370&lt;0,"Loss","Break Even")))</f>
        <v/>
      </c>
      <c r="P370" s="4"/>
      <c r="Q370" s="4"/>
      <c r="R370" s="4"/>
    </row>
    <row r="371" customFormat="false" ht="15" hidden="false" customHeight="false" outlineLevel="0" collapsed="false">
      <c r="A371" s="9" t="str">
        <f aca="false">IF(B371&lt;&gt;"",ROW()-3,"")</f>
        <v/>
      </c>
      <c r="B371" s="10"/>
      <c r="C371" s="9" t="str">
        <f aca="false">IF(B371&lt;&gt;"",TEXT(B371,"DDDD"),"")</f>
        <v/>
      </c>
      <c r="D371" s="9"/>
      <c r="E371" s="9"/>
      <c r="F371" s="9"/>
      <c r="G371" s="9"/>
      <c r="H371" s="9"/>
      <c r="I371" s="9"/>
      <c r="J371" s="9"/>
      <c r="K371" s="11" t="str">
        <f aca="false">IF(AND(B371&lt;&gt;"",I371&lt;&gt;"",F371&lt;&gt;""),IF(E371="Long",(I371-F371)*20,(F371-I371)*20),"")</f>
        <v/>
      </c>
      <c r="L371" s="12" t="str">
        <f aca="false">IF(AND(K371&lt;&gt;"",J371&lt;&gt;""),K371*J371,"")</f>
        <v/>
      </c>
      <c r="M371" s="13" t="str">
        <f aca="false">IF(AND(F371&lt;&gt;"",G371&lt;&gt;"",H371&lt;&gt;""),IF(E371="Long",(H371-F371)/(F371-G371),(F371-H371)/(G371-F371)),"")</f>
        <v/>
      </c>
      <c r="N371" s="13" t="str">
        <f aca="false">IF(AND(F371&lt;&gt;"",G371&lt;&gt;"",I371&lt;&gt;""),IF(E371="Long",(I371-F371)/(F371-G371),(F371-I371)/(G371-F371)),"")</f>
        <v/>
      </c>
      <c r="O371" s="9" t="str">
        <f aca="false">IF(L371="","",IF(L371&gt;0,"Win",IF(L371&lt;0,"Loss","Break Even")))</f>
        <v/>
      </c>
      <c r="P371" s="9"/>
      <c r="Q371" s="9"/>
      <c r="R371" s="9"/>
    </row>
    <row r="372" customFormat="false" ht="15" hidden="false" customHeight="false" outlineLevel="0" collapsed="false">
      <c r="A372" s="4" t="str">
        <f aca="false">IF(B372&lt;&gt;"",ROW()-3,"")</f>
        <v/>
      </c>
      <c r="B372" s="5"/>
      <c r="C372" s="4" t="str">
        <f aca="false">IF(B372&lt;&gt;"",TEXT(B372,"DDDD"),"")</f>
        <v/>
      </c>
      <c r="D372" s="4"/>
      <c r="E372" s="4"/>
      <c r="F372" s="4"/>
      <c r="G372" s="4"/>
      <c r="H372" s="4"/>
      <c r="I372" s="4"/>
      <c r="J372" s="4"/>
      <c r="K372" s="6" t="str">
        <f aca="false">IF(AND(B372&lt;&gt;"",I372&lt;&gt;"",F372&lt;&gt;""),IF(E372="Long",(I372-F372)*20,(F372-I372)*20),"")</f>
        <v/>
      </c>
      <c r="L372" s="7" t="str">
        <f aca="false">IF(AND(K372&lt;&gt;"",J372&lt;&gt;""),K372*J372,"")</f>
        <v/>
      </c>
      <c r="M372" s="8" t="str">
        <f aca="false">IF(AND(F372&lt;&gt;"",G372&lt;&gt;"",H372&lt;&gt;""),IF(E372="Long",(H372-F372)/(F372-G372),(F372-H372)/(G372-F372)),"")</f>
        <v/>
      </c>
      <c r="N372" s="8" t="str">
        <f aca="false">IF(AND(F372&lt;&gt;"",G372&lt;&gt;"",I372&lt;&gt;""),IF(E372="Long",(I372-F372)/(F372-G372),(F372-I372)/(G372-F372)),"")</f>
        <v/>
      </c>
      <c r="O372" s="4" t="str">
        <f aca="false">IF(L372="","",IF(L372&gt;0,"Win",IF(L372&lt;0,"Loss","Break Even")))</f>
        <v/>
      </c>
      <c r="P372" s="4"/>
      <c r="Q372" s="4"/>
      <c r="R372" s="4"/>
    </row>
    <row r="373" customFormat="false" ht="15" hidden="false" customHeight="false" outlineLevel="0" collapsed="false">
      <c r="A373" s="9" t="str">
        <f aca="false">IF(B373&lt;&gt;"",ROW()-3,"")</f>
        <v/>
      </c>
      <c r="B373" s="10"/>
      <c r="C373" s="9" t="str">
        <f aca="false">IF(B373&lt;&gt;"",TEXT(B373,"DDDD"),"")</f>
        <v/>
      </c>
      <c r="D373" s="9"/>
      <c r="E373" s="9"/>
      <c r="F373" s="9"/>
      <c r="G373" s="9"/>
      <c r="H373" s="9"/>
      <c r="I373" s="9"/>
      <c r="J373" s="9"/>
      <c r="K373" s="11" t="str">
        <f aca="false">IF(AND(B373&lt;&gt;"",I373&lt;&gt;"",F373&lt;&gt;""),IF(E373="Long",(I373-F373)*20,(F373-I373)*20),"")</f>
        <v/>
      </c>
      <c r="L373" s="12" t="str">
        <f aca="false">IF(AND(K373&lt;&gt;"",J373&lt;&gt;""),K373*J373,"")</f>
        <v/>
      </c>
      <c r="M373" s="13" t="str">
        <f aca="false">IF(AND(F373&lt;&gt;"",G373&lt;&gt;"",H373&lt;&gt;""),IF(E373="Long",(H373-F373)/(F373-G373),(F373-H373)/(G373-F373)),"")</f>
        <v/>
      </c>
      <c r="N373" s="13" t="str">
        <f aca="false">IF(AND(F373&lt;&gt;"",G373&lt;&gt;"",I373&lt;&gt;""),IF(E373="Long",(I373-F373)/(F373-G373),(F373-I373)/(G373-F373)),"")</f>
        <v/>
      </c>
      <c r="O373" s="9" t="str">
        <f aca="false">IF(L373="","",IF(L373&gt;0,"Win",IF(L373&lt;0,"Loss","Break Even")))</f>
        <v/>
      </c>
      <c r="P373" s="9"/>
      <c r="Q373" s="9"/>
      <c r="R373" s="9"/>
    </row>
    <row r="374" customFormat="false" ht="15" hidden="false" customHeight="false" outlineLevel="0" collapsed="false">
      <c r="A374" s="4" t="str">
        <f aca="false">IF(B374&lt;&gt;"",ROW()-3,"")</f>
        <v/>
      </c>
      <c r="B374" s="5"/>
      <c r="C374" s="4" t="str">
        <f aca="false">IF(B374&lt;&gt;"",TEXT(B374,"DDDD"),"")</f>
        <v/>
      </c>
      <c r="D374" s="4"/>
      <c r="E374" s="4"/>
      <c r="F374" s="4"/>
      <c r="G374" s="4"/>
      <c r="H374" s="4"/>
      <c r="I374" s="4"/>
      <c r="J374" s="4"/>
      <c r="K374" s="6" t="str">
        <f aca="false">IF(AND(B374&lt;&gt;"",I374&lt;&gt;"",F374&lt;&gt;""),IF(E374="Long",(I374-F374)*20,(F374-I374)*20),"")</f>
        <v/>
      </c>
      <c r="L374" s="7" t="str">
        <f aca="false">IF(AND(K374&lt;&gt;"",J374&lt;&gt;""),K374*J374,"")</f>
        <v/>
      </c>
      <c r="M374" s="8" t="str">
        <f aca="false">IF(AND(F374&lt;&gt;"",G374&lt;&gt;"",H374&lt;&gt;""),IF(E374="Long",(H374-F374)/(F374-G374),(F374-H374)/(G374-F374)),"")</f>
        <v/>
      </c>
      <c r="N374" s="8" t="str">
        <f aca="false">IF(AND(F374&lt;&gt;"",G374&lt;&gt;"",I374&lt;&gt;""),IF(E374="Long",(I374-F374)/(F374-G374),(F374-I374)/(G374-F374)),"")</f>
        <v/>
      </c>
      <c r="O374" s="4" t="str">
        <f aca="false">IF(L374="","",IF(L374&gt;0,"Win",IF(L374&lt;0,"Loss","Break Even")))</f>
        <v/>
      </c>
      <c r="P374" s="4"/>
      <c r="Q374" s="4"/>
      <c r="R374" s="4"/>
    </row>
    <row r="375" customFormat="false" ht="15" hidden="false" customHeight="false" outlineLevel="0" collapsed="false">
      <c r="A375" s="9" t="str">
        <f aca="false">IF(B375&lt;&gt;"",ROW()-3,"")</f>
        <v/>
      </c>
      <c r="B375" s="10"/>
      <c r="C375" s="9" t="str">
        <f aca="false">IF(B375&lt;&gt;"",TEXT(B375,"DDDD"),"")</f>
        <v/>
      </c>
      <c r="D375" s="9"/>
      <c r="E375" s="9"/>
      <c r="F375" s="9"/>
      <c r="G375" s="9"/>
      <c r="H375" s="9"/>
      <c r="I375" s="9"/>
      <c r="J375" s="9"/>
      <c r="K375" s="11" t="str">
        <f aca="false">IF(AND(B375&lt;&gt;"",I375&lt;&gt;"",F375&lt;&gt;""),IF(E375="Long",(I375-F375)*20,(F375-I375)*20),"")</f>
        <v/>
      </c>
      <c r="L375" s="12" t="str">
        <f aca="false">IF(AND(K375&lt;&gt;"",J375&lt;&gt;""),K375*J375,"")</f>
        <v/>
      </c>
      <c r="M375" s="13" t="str">
        <f aca="false">IF(AND(F375&lt;&gt;"",G375&lt;&gt;"",H375&lt;&gt;""),IF(E375="Long",(H375-F375)/(F375-G375),(F375-H375)/(G375-F375)),"")</f>
        <v/>
      </c>
      <c r="N375" s="13" t="str">
        <f aca="false">IF(AND(F375&lt;&gt;"",G375&lt;&gt;"",I375&lt;&gt;""),IF(E375="Long",(I375-F375)/(F375-G375),(F375-I375)/(G375-F375)),"")</f>
        <v/>
      </c>
      <c r="O375" s="9" t="str">
        <f aca="false">IF(L375="","",IF(L375&gt;0,"Win",IF(L375&lt;0,"Loss","Break Even")))</f>
        <v/>
      </c>
      <c r="P375" s="9"/>
      <c r="Q375" s="9"/>
      <c r="R375" s="9"/>
    </row>
    <row r="376" customFormat="false" ht="15" hidden="false" customHeight="false" outlineLevel="0" collapsed="false">
      <c r="A376" s="4" t="str">
        <f aca="false">IF(B376&lt;&gt;"",ROW()-3,"")</f>
        <v/>
      </c>
      <c r="B376" s="5"/>
      <c r="C376" s="4" t="str">
        <f aca="false">IF(B376&lt;&gt;"",TEXT(B376,"DDDD"),"")</f>
        <v/>
      </c>
      <c r="D376" s="4"/>
      <c r="E376" s="4"/>
      <c r="F376" s="4"/>
      <c r="G376" s="4"/>
      <c r="H376" s="4"/>
      <c r="I376" s="4"/>
      <c r="J376" s="4"/>
      <c r="K376" s="6" t="str">
        <f aca="false">IF(AND(B376&lt;&gt;"",I376&lt;&gt;"",F376&lt;&gt;""),IF(E376="Long",(I376-F376)*20,(F376-I376)*20),"")</f>
        <v/>
      </c>
      <c r="L376" s="7" t="str">
        <f aca="false">IF(AND(K376&lt;&gt;"",J376&lt;&gt;""),K376*J376,"")</f>
        <v/>
      </c>
      <c r="M376" s="8" t="str">
        <f aca="false">IF(AND(F376&lt;&gt;"",G376&lt;&gt;"",H376&lt;&gt;""),IF(E376="Long",(H376-F376)/(F376-G376),(F376-H376)/(G376-F376)),"")</f>
        <v/>
      </c>
      <c r="N376" s="8" t="str">
        <f aca="false">IF(AND(F376&lt;&gt;"",G376&lt;&gt;"",I376&lt;&gt;""),IF(E376="Long",(I376-F376)/(F376-G376),(F376-I376)/(G376-F376)),"")</f>
        <v/>
      </c>
      <c r="O376" s="4" t="str">
        <f aca="false">IF(L376="","",IF(L376&gt;0,"Win",IF(L376&lt;0,"Loss","Break Even")))</f>
        <v/>
      </c>
      <c r="P376" s="4"/>
      <c r="Q376" s="4"/>
      <c r="R376" s="4"/>
    </row>
    <row r="377" customFormat="false" ht="15" hidden="false" customHeight="false" outlineLevel="0" collapsed="false">
      <c r="A377" s="9" t="str">
        <f aca="false">IF(B377&lt;&gt;"",ROW()-3,"")</f>
        <v/>
      </c>
      <c r="B377" s="10"/>
      <c r="C377" s="9" t="str">
        <f aca="false">IF(B377&lt;&gt;"",TEXT(B377,"DDDD"),"")</f>
        <v/>
      </c>
      <c r="D377" s="9"/>
      <c r="E377" s="9"/>
      <c r="F377" s="9"/>
      <c r="G377" s="9"/>
      <c r="H377" s="9"/>
      <c r="I377" s="9"/>
      <c r="J377" s="9"/>
      <c r="K377" s="11" t="str">
        <f aca="false">IF(AND(B377&lt;&gt;"",I377&lt;&gt;"",F377&lt;&gt;""),IF(E377="Long",(I377-F377)*20,(F377-I377)*20),"")</f>
        <v/>
      </c>
      <c r="L377" s="12" t="str">
        <f aca="false">IF(AND(K377&lt;&gt;"",J377&lt;&gt;""),K377*J377,"")</f>
        <v/>
      </c>
      <c r="M377" s="13" t="str">
        <f aca="false">IF(AND(F377&lt;&gt;"",G377&lt;&gt;"",H377&lt;&gt;""),IF(E377="Long",(H377-F377)/(F377-G377),(F377-H377)/(G377-F377)),"")</f>
        <v/>
      </c>
      <c r="N377" s="13" t="str">
        <f aca="false">IF(AND(F377&lt;&gt;"",G377&lt;&gt;"",I377&lt;&gt;""),IF(E377="Long",(I377-F377)/(F377-G377),(F377-I377)/(G377-F377)),"")</f>
        <v/>
      </c>
      <c r="O377" s="9" t="str">
        <f aca="false">IF(L377="","",IF(L377&gt;0,"Win",IF(L377&lt;0,"Loss","Break Even")))</f>
        <v/>
      </c>
      <c r="P377" s="9"/>
      <c r="Q377" s="9"/>
      <c r="R377" s="9"/>
    </row>
    <row r="378" customFormat="false" ht="15" hidden="false" customHeight="false" outlineLevel="0" collapsed="false">
      <c r="A378" s="4" t="str">
        <f aca="false">IF(B378&lt;&gt;"",ROW()-3,"")</f>
        <v/>
      </c>
      <c r="B378" s="5"/>
      <c r="C378" s="4" t="str">
        <f aca="false">IF(B378&lt;&gt;"",TEXT(B378,"DDDD"),"")</f>
        <v/>
      </c>
      <c r="D378" s="4"/>
      <c r="E378" s="4"/>
      <c r="F378" s="4"/>
      <c r="G378" s="4"/>
      <c r="H378" s="4"/>
      <c r="I378" s="4"/>
      <c r="J378" s="4"/>
      <c r="K378" s="6" t="str">
        <f aca="false">IF(AND(B378&lt;&gt;"",I378&lt;&gt;"",F378&lt;&gt;""),IF(E378="Long",(I378-F378)*20,(F378-I378)*20),"")</f>
        <v/>
      </c>
      <c r="L378" s="7" t="str">
        <f aca="false">IF(AND(K378&lt;&gt;"",J378&lt;&gt;""),K378*J378,"")</f>
        <v/>
      </c>
      <c r="M378" s="8" t="str">
        <f aca="false">IF(AND(F378&lt;&gt;"",G378&lt;&gt;"",H378&lt;&gt;""),IF(E378="Long",(H378-F378)/(F378-G378),(F378-H378)/(G378-F378)),"")</f>
        <v/>
      </c>
      <c r="N378" s="8" t="str">
        <f aca="false">IF(AND(F378&lt;&gt;"",G378&lt;&gt;"",I378&lt;&gt;""),IF(E378="Long",(I378-F378)/(F378-G378),(F378-I378)/(G378-F378)),"")</f>
        <v/>
      </c>
      <c r="O378" s="4" t="str">
        <f aca="false">IF(L378="","",IF(L378&gt;0,"Win",IF(L378&lt;0,"Loss","Break Even")))</f>
        <v/>
      </c>
      <c r="P378" s="4"/>
      <c r="Q378" s="4"/>
      <c r="R378" s="4"/>
    </row>
    <row r="379" customFormat="false" ht="15" hidden="false" customHeight="false" outlineLevel="0" collapsed="false">
      <c r="A379" s="9" t="str">
        <f aca="false">IF(B379&lt;&gt;"",ROW()-3,"")</f>
        <v/>
      </c>
      <c r="B379" s="10"/>
      <c r="C379" s="9" t="str">
        <f aca="false">IF(B379&lt;&gt;"",TEXT(B379,"DDDD"),"")</f>
        <v/>
      </c>
      <c r="D379" s="9"/>
      <c r="E379" s="9"/>
      <c r="F379" s="9"/>
      <c r="G379" s="9"/>
      <c r="H379" s="9"/>
      <c r="I379" s="9"/>
      <c r="J379" s="9"/>
      <c r="K379" s="11" t="str">
        <f aca="false">IF(AND(B379&lt;&gt;"",I379&lt;&gt;"",F379&lt;&gt;""),IF(E379="Long",(I379-F379)*20,(F379-I379)*20),"")</f>
        <v/>
      </c>
      <c r="L379" s="12" t="str">
        <f aca="false">IF(AND(K379&lt;&gt;"",J379&lt;&gt;""),K379*J379,"")</f>
        <v/>
      </c>
      <c r="M379" s="13" t="str">
        <f aca="false">IF(AND(F379&lt;&gt;"",G379&lt;&gt;"",H379&lt;&gt;""),IF(E379="Long",(H379-F379)/(F379-G379),(F379-H379)/(G379-F379)),"")</f>
        <v/>
      </c>
      <c r="N379" s="13" t="str">
        <f aca="false">IF(AND(F379&lt;&gt;"",G379&lt;&gt;"",I379&lt;&gt;""),IF(E379="Long",(I379-F379)/(F379-G379),(F379-I379)/(G379-F379)),"")</f>
        <v/>
      </c>
      <c r="O379" s="9" t="str">
        <f aca="false">IF(L379="","",IF(L379&gt;0,"Win",IF(L379&lt;0,"Loss","Break Even")))</f>
        <v/>
      </c>
      <c r="P379" s="9"/>
      <c r="Q379" s="9"/>
      <c r="R379" s="9"/>
    </row>
    <row r="380" customFormat="false" ht="15" hidden="false" customHeight="false" outlineLevel="0" collapsed="false">
      <c r="A380" s="4" t="str">
        <f aca="false">IF(B380&lt;&gt;"",ROW()-3,"")</f>
        <v/>
      </c>
      <c r="B380" s="5"/>
      <c r="C380" s="4" t="str">
        <f aca="false">IF(B380&lt;&gt;"",TEXT(B380,"DDDD"),"")</f>
        <v/>
      </c>
      <c r="D380" s="4"/>
      <c r="E380" s="4"/>
      <c r="F380" s="4"/>
      <c r="G380" s="4"/>
      <c r="H380" s="4"/>
      <c r="I380" s="4"/>
      <c r="J380" s="4"/>
      <c r="K380" s="6" t="str">
        <f aca="false">IF(AND(B380&lt;&gt;"",I380&lt;&gt;"",F380&lt;&gt;""),IF(E380="Long",(I380-F380)*20,(F380-I380)*20),"")</f>
        <v/>
      </c>
      <c r="L380" s="7" t="str">
        <f aca="false">IF(AND(K380&lt;&gt;"",J380&lt;&gt;""),K380*J380,"")</f>
        <v/>
      </c>
      <c r="M380" s="8" t="str">
        <f aca="false">IF(AND(F380&lt;&gt;"",G380&lt;&gt;"",H380&lt;&gt;""),IF(E380="Long",(H380-F380)/(F380-G380),(F380-H380)/(G380-F380)),"")</f>
        <v/>
      </c>
      <c r="N380" s="8" t="str">
        <f aca="false">IF(AND(F380&lt;&gt;"",G380&lt;&gt;"",I380&lt;&gt;""),IF(E380="Long",(I380-F380)/(F380-G380),(F380-I380)/(G380-F380)),"")</f>
        <v/>
      </c>
      <c r="O380" s="4" t="str">
        <f aca="false">IF(L380="","",IF(L380&gt;0,"Win",IF(L380&lt;0,"Loss","Break Even")))</f>
        <v/>
      </c>
      <c r="P380" s="4"/>
      <c r="Q380" s="4"/>
      <c r="R380" s="4"/>
    </row>
    <row r="381" customFormat="false" ht="15" hidden="false" customHeight="false" outlineLevel="0" collapsed="false">
      <c r="A381" s="9" t="str">
        <f aca="false">IF(B381&lt;&gt;"",ROW()-3,"")</f>
        <v/>
      </c>
      <c r="B381" s="10"/>
      <c r="C381" s="9" t="str">
        <f aca="false">IF(B381&lt;&gt;"",TEXT(B381,"DDDD"),"")</f>
        <v/>
      </c>
      <c r="D381" s="9"/>
      <c r="E381" s="9"/>
      <c r="F381" s="9"/>
      <c r="G381" s="9"/>
      <c r="H381" s="9"/>
      <c r="I381" s="9"/>
      <c r="J381" s="9"/>
      <c r="K381" s="11" t="str">
        <f aca="false">IF(AND(B381&lt;&gt;"",I381&lt;&gt;"",F381&lt;&gt;""),IF(E381="Long",(I381-F381)*20,(F381-I381)*20),"")</f>
        <v/>
      </c>
      <c r="L381" s="12" t="str">
        <f aca="false">IF(AND(K381&lt;&gt;"",J381&lt;&gt;""),K381*J381,"")</f>
        <v/>
      </c>
      <c r="M381" s="13" t="str">
        <f aca="false">IF(AND(F381&lt;&gt;"",G381&lt;&gt;"",H381&lt;&gt;""),IF(E381="Long",(H381-F381)/(F381-G381),(F381-H381)/(G381-F381)),"")</f>
        <v/>
      </c>
      <c r="N381" s="13" t="str">
        <f aca="false">IF(AND(F381&lt;&gt;"",G381&lt;&gt;"",I381&lt;&gt;""),IF(E381="Long",(I381-F381)/(F381-G381),(F381-I381)/(G381-F381)),"")</f>
        <v/>
      </c>
      <c r="O381" s="9" t="str">
        <f aca="false">IF(L381="","",IF(L381&gt;0,"Win",IF(L381&lt;0,"Loss","Break Even")))</f>
        <v/>
      </c>
      <c r="P381" s="9"/>
      <c r="Q381" s="9"/>
      <c r="R381" s="9"/>
    </row>
    <row r="382" customFormat="false" ht="15" hidden="false" customHeight="false" outlineLevel="0" collapsed="false">
      <c r="A382" s="4" t="str">
        <f aca="false">IF(B382&lt;&gt;"",ROW()-3,"")</f>
        <v/>
      </c>
      <c r="B382" s="5"/>
      <c r="C382" s="4" t="str">
        <f aca="false">IF(B382&lt;&gt;"",TEXT(B382,"DDDD"),"")</f>
        <v/>
      </c>
      <c r="D382" s="4"/>
      <c r="E382" s="4"/>
      <c r="F382" s="4"/>
      <c r="G382" s="4"/>
      <c r="H382" s="4"/>
      <c r="I382" s="4"/>
      <c r="J382" s="4"/>
      <c r="K382" s="6" t="str">
        <f aca="false">IF(AND(B382&lt;&gt;"",I382&lt;&gt;"",F382&lt;&gt;""),IF(E382="Long",(I382-F382)*20,(F382-I382)*20),"")</f>
        <v/>
      </c>
      <c r="L382" s="7" t="str">
        <f aca="false">IF(AND(K382&lt;&gt;"",J382&lt;&gt;""),K382*J382,"")</f>
        <v/>
      </c>
      <c r="M382" s="8" t="str">
        <f aca="false">IF(AND(F382&lt;&gt;"",G382&lt;&gt;"",H382&lt;&gt;""),IF(E382="Long",(H382-F382)/(F382-G382),(F382-H382)/(G382-F382)),"")</f>
        <v/>
      </c>
      <c r="N382" s="8" t="str">
        <f aca="false">IF(AND(F382&lt;&gt;"",G382&lt;&gt;"",I382&lt;&gt;""),IF(E382="Long",(I382-F382)/(F382-G382),(F382-I382)/(G382-F382)),"")</f>
        <v/>
      </c>
      <c r="O382" s="4" t="str">
        <f aca="false">IF(L382="","",IF(L382&gt;0,"Win",IF(L382&lt;0,"Loss","Break Even")))</f>
        <v/>
      </c>
      <c r="P382" s="4"/>
      <c r="Q382" s="4"/>
      <c r="R382" s="4"/>
    </row>
    <row r="383" customFormat="false" ht="15" hidden="false" customHeight="false" outlineLevel="0" collapsed="false">
      <c r="A383" s="9" t="str">
        <f aca="false">IF(B383&lt;&gt;"",ROW()-3,"")</f>
        <v/>
      </c>
      <c r="B383" s="10"/>
      <c r="C383" s="9" t="str">
        <f aca="false">IF(B383&lt;&gt;"",TEXT(B383,"DDDD"),"")</f>
        <v/>
      </c>
      <c r="D383" s="9"/>
      <c r="E383" s="9"/>
      <c r="F383" s="9"/>
      <c r="G383" s="9"/>
      <c r="H383" s="9"/>
      <c r="I383" s="9"/>
      <c r="J383" s="9"/>
      <c r="K383" s="11" t="str">
        <f aca="false">IF(AND(B383&lt;&gt;"",I383&lt;&gt;"",F383&lt;&gt;""),IF(E383="Long",(I383-F383)*20,(F383-I383)*20),"")</f>
        <v/>
      </c>
      <c r="L383" s="12" t="str">
        <f aca="false">IF(AND(K383&lt;&gt;"",J383&lt;&gt;""),K383*J383,"")</f>
        <v/>
      </c>
      <c r="M383" s="13" t="str">
        <f aca="false">IF(AND(F383&lt;&gt;"",G383&lt;&gt;"",H383&lt;&gt;""),IF(E383="Long",(H383-F383)/(F383-G383),(F383-H383)/(G383-F383)),"")</f>
        <v/>
      </c>
      <c r="N383" s="13" t="str">
        <f aca="false">IF(AND(F383&lt;&gt;"",G383&lt;&gt;"",I383&lt;&gt;""),IF(E383="Long",(I383-F383)/(F383-G383),(F383-I383)/(G383-F383)),"")</f>
        <v/>
      </c>
      <c r="O383" s="9" t="str">
        <f aca="false">IF(L383="","",IF(L383&gt;0,"Win",IF(L383&lt;0,"Loss","Break Even")))</f>
        <v/>
      </c>
      <c r="P383" s="9"/>
      <c r="Q383" s="9"/>
      <c r="R383" s="9"/>
    </row>
    <row r="384" customFormat="false" ht="15" hidden="false" customHeight="false" outlineLevel="0" collapsed="false">
      <c r="A384" s="4" t="str">
        <f aca="false">IF(B384&lt;&gt;"",ROW()-3,"")</f>
        <v/>
      </c>
      <c r="B384" s="5"/>
      <c r="C384" s="4" t="str">
        <f aca="false">IF(B384&lt;&gt;"",TEXT(B384,"DDDD"),"")</f>
        <v/>
      </c>
      <c r="D384" s="4"/>
      <c r="E384" s="4"/>
      <c r="F384" s="4"/>
      <c r="G384" s="4"/>
      <c r="H384" s="4"/>
      <c r="I384" s="4"/>
      <c r="J384" s="4"/>
      <c r="K384" s="6" t="str">
        <f aca="false">IF(AND(B384&lt;&gt;"",I384&lt;&gt;"",F384&lt;&gt;""),IF(E384="Long",(I384-F384)*20,(F384-I384)*20),"")</f>
        <v/>
      </c>
      <c r="L384" s="7" t="str">
        <f aca="false">IF(AND(K384&lt;&gt;"",J384&lt;&gt;""),K384*J384,"")</f>
        <v/>
      </c>
      <c r="M384" s="8" t="str">
        <f aca="false">IF(AND(F384&lt;&gt;"",G384&lt;&gt;"",H384&lt;&gt;""),IF(E384="Long",(H384-F384)/(F384-G384),(F384-H384)/(G384-F384)),"")</f>
        <v/>
      </c>
      <c r="N384" s="8" t="str">
        <f aca="false">IF(AND(F384&lt;&gt;"",G384&lt;&gt;"",I384&lt;&gt;""),IF(E384="Long",(I384-F384)/(F384-G384),(F384-I384)/(G384-F384)),"")</f>
        <v/>
      </c>
      <c r="O384" s="4" t="str">
        <f aca="false">IF(L384="","",IF(L384&gt;0,"Win",IF(L384&lt;0,"Loss","Break Even")))</f>
        <v/>
      </c>
      <c r="P384" s="4"/>
      <c r="Q384" s="4"/>
      <c r="R384" s="4"/>
    </row>
    <row r="385" customFormat="false" ht="15" hidden="false" customHeight="false" outlineLevel="0" collapsed="false">
      <c r="A385" s="9" t="str">
        <f aca="false">IF(B385&lt;&gt;"",ROW()-3,"")</f>
        <v/>
      </c>
      <c r="B385" s="10"/>
      <c r="C385" s="9" t="str">
        <f aca="false">IF(B385&lt;&gt;"",TEXT(B385,"DDDD"),"")</f>
        <v/>
      </c>
      <c r="D385" s="9"/>
      <c r="E385" s="9"/>
      <c r="F385" s="9"/>
      <c r="G385" s="9"/>
      <c r="H385" s="9"/>
      <c r="I385" s="9"/>
      <c r="J385" s="9"/>
      <c r="K385" s="11" t="str">
        <f aca="false">IF(AND(B385&lt;&gt;"",I385&lt;&gt;"",F385&lt;&gt;""),IF(E385="Long",(I385-F385)*20,(F385-I385)*20),"")</f>
        <v/>
      </c>
      <c r="L385" s="12" t="str">
        <f aca="false">IF(AND(K385&lt;&gt;"",J385&lt;&gt;""),K385*J385,"")</f>
        <v/>
      </c>
      <c r="M385" s="13" t="str">
        <f aca="false">IF(AND(F385&lt;&gt;"",G385&lt;&gt;"",H385&lt;&gt;""),IF(E385="Long",(H385-F385)/(F385-G385),(F385-H385)/(G385-F385)),"")</f>
        <v/>
      </c>
      <c r="N385" s="13" t="str">
        <f aca="false">IF(AND(F385&lt;&gt;"",G385&lt;&gt;"",I385&lt;&gt;""),IF(E385="Long",(I385-F385)/(F385-G385),(F385-I385)/(G385-F385)),"")</f>
        <v/>
      </c>
      <c r="O385" s="9" t="str">
        <f aca="false">IF(L385="","",IF(L385&gt;0,"Win",IF(L385&lt;0,"Loss","Break Even")))</f>
        <v/>
      </c>
      <c r="P385" s="9"/>
      <c r="Q385" s="9"/>
      <c r="R385" s="9"/>
    </row>
    <row r="386" customFormat="false" ht="15" hidden="false" customHeight="false" outlineLevel="0" collapsed="false">
      <c r="A386" s="4" t="str">
        <f aca="false">IF(B386&lt;&gt;"",ROW()-3,"")</f>
        <v/>
      </c>
      <c r="B386" s="5"/>
      <c r="C386" s="4" t="str">
        <f aca="false">IF(B386&lt;&gt;"",TEXT(B386,"DDDD"),"")</f>
        <v/>
      </c>
      <c r="D386" s="4"/>
      <c r="E386" s="4"/>
      <c r="F386" s="4"/>
      <c r="G386" s="4"/>
      <c r="H386" s="4"/>
      <c r="I386" s="4"/>
      <c r="J386" s="4"/>
      <c r="K386" s="6" t="str">
        <f aca="false">IF(AND(B386&lt;&gt;"",I386&lt;&gt;"",F386&lt;&gt;""),IF(E386="Long",(I386-F386)*20,(F386-I386)*20),"")</f>
        <v/>
      </c>
      <c r="L386" s="7" t="str">
        <f aca="false">IF(AND(K386&lt;&gt;"",J386&lt;&gt;""),K386*J386,"")</f>
        <v/>
      </c>
      <c r="M386" s="8" t="str">
        <f aca="false">IF(AND(F386&lt;&gt;"",G386&lt;&gt;"",H386&lt;&gt;""),IF(E386="Long",(H386-F386)/(F386-G386),(F386-H386)/(G386-F386)),"")</f>
        <v/>
      </c>
      <c r="N386" s="8" t="str">
        <f aca="false">IF(AND(F386&lt;&gt;"",G386&lt;&gt;"",I386&lt;&gt;""),IF(E386="Long",(I386-F386)/(F386-G386),(F386-I386)/(G386-F386)),"")</f>
        <v/>
      </c>
      <c r="O386" s="4" t="str">
        <f aca="false">IF(L386="","",IF(L386&gt;0,"Win",IF(L386&lt;0,"Loss","Break Even")))</f>
        <v/>
      </c>
      <c r="P386" s="4"/>
      <c r="Q386" s="4"/>
      <c r="R386" s="4"/>
    </row>
    <row r="387" customFormat="false" ht="15" hidden="false" customHeight="false" outlineLevel="0" collapsed="false">
      <c r="A387" s="9" t="str">
        <f aca="false">IF(B387&lt;&gt;"",ROW()-3,"")</f>
        <v/>
      </c>
      <c r="B387" s="10"/>
      <c r="C387" s="9" t="str">
        <f aca="false">IF(B387&lt;&gt;"",TEXT(B387,"DDDD"),"")</f>
        <v/>
      </c>
      <c r="D387" s="9"/>
      <c r="E387" s="9"/>
      <c r="F387" s="9"/>
      <c r="G387" s="9"/>
      <c r="H387" s="9"/>
      <c r="I387" s="9"/>
      <c r="J387" s="9"/>
      <c r="K387" s="11" t="str">
        <f aca="false">IF(AND(B387&lt;&gt;"",I387&lt;&gt;"",F387&lt;&gt;""),IF(E387="Long",(I387-F387)*20,(F387-I387)*20),"")</f>
        <v/>
      </c>
      <c r="L387" s="12" t="str">
        <f aca="false">IF(AND(K387&lt;&gt;"",J387&lt;&gt;""),K387*J387,"")</f>
        <v/>
      </c>
      <c r="M387" s="13" t="str">
        <f aca="false">IF(AND(F387&lt;&gt;"",G387&lt;&gt;"",H387&lt;&gt;""),IF(E387="Long",(H387-F387)/(F387-G387),(F387-H387)/(G387-F387)),"")</f>
        <v/>
      </c>
      <c r="N387" s="13" t="str">
        <f aca="false">IF(AND(F387&lt;&gt;"",G387&lt;&gt;"",I387&lt;&gt;""),IF(E387="Long",(I387-F387)/(F387-G387),(F387-I387)/(G387-F387)),"")</f>
        <v/>
      </c>
      <c r="O387" s="9" t="str">
        <f aca="false">IF(L387="","",IF(L387&gt;0,"Win",IF(L387&lt;0,"Loss","Break Even")))</f>
        <v/>
      </c>
      <c r="P387" s="9"/>
      <c r="Q387" s="9"/>
      <c r="R387" s="9"/>
    </row>
    <row r="388" customFormat="false" ht="15" hidden="false" customHeight="false" outlineLevel="0" collapsed="false">
      <c r="A388" s="4" t="str">
        <f aca="false">IF(B388&lt;&gt;"",ROW()-3,"")</f>
        <v/>
      </c>
      <c r="B388" s="5"/>
      <c r="C388" s="4" t="str">
        <f aca="false">IF(B388&lt;&gt;"",TEXT(B388,"DDDD"),"")</f>
        <v/>
      </c>
      <c r="D388" s="4"/>
      <c r="E388" s="4"/>
      <c r="F388" s="4"/>
      <c r="G388" s="4"/>
      <c r="H388" s="4"/>
      <c r="I388" s="4"/>
      <c r="J388" s="4"/>
      <c r="K388" s="6" t="str">
        <f aca="false">IF(AND(B388&lt;&gt;"",I388&lt;&gt;"",F388&lt;&gt;""),IF(E388="Long",(I388-F388)*20,(F388-I388)*20),"")</f>
        <v/>
      </c>
      <c r="L388" s="7" t="str">
        <f aca="false">IF(AND(K388&lt;&gt;"",J388&lt;&gt;""),K388*J388,"")</f>
        <v/>
      </c>
      <c r="M388" s="8" t="str">
        <f aca="false">IF(AND(F388&lt;&gt;"",G388&lt;&gt;"",H388&lt;&gt;""),IF(E388="Long",(H388-F388)/(F388-G388),(F388-H388)/(G388-F388)),"")</f>
        <v/>
      </c>
      <c r="N388" s="8" t="str">
        <f aca="false">IF(AND(F388&lt;&gt;"",G388&lt;&gt;"",I388&lt;&gt;""),IF(E388="Long",(I388-F388)/(F388-G388),(F388-I388)/(G388-F388)),"")</f>
        <v/>
      </c>
      <c r="O388" s="4" t="str">
        <f aca="false">IF(L388="","",IF(L388&gt;0,"Win",IF(L388&lt;0,"Loss","Break Even")))</f>
        <v/>
      </c>
      <c r="P388" s="4"/>
      <c r="Q388" s="4"/>
      <c r="R388" s="4"/>
    </row>
    <row r="389" customFormat="false" ht="15" hidden="false" customHeight="false" outlineLevel="0" collapsed="false">
      <c r="A389" s="9" t="str">
        <f aca="false">IF(B389&lt;&gt;"",ROW()-3,"")</f>
        <v/>
      </c>
      <c r="B389" s="10"/>
      <c r="C389" s="9" t="str">
        <f aca="false">IF(B389&lt;&gt;"",TEXT(B389,"DDDD"),"")</f>
        <v/>
      </c>
      <c r="D389" s="9"/>
      <c r="E389" s="9"/>
      <c r="F389" s="9"/>
      <c r="G389" s="9"/>
      <c r="H389" s="9"/>
      <c r="I389" s="9"/>
      <c r="J389" s="9"/>
      <c r="K389" s="11" t="str">
        <f aca="false">IF(AND(B389&lt;&gt;"",I389&lt;&gt;"",F389&lt;&gt;""),IF(E389="Long",(I389-F389)*20,(F389-I389)*20),"")</f>
        <v/>
      </c>
      <c r="L389" s="12" t="str">
        <f aca="false">IF(AND(K389&lt;&gt;"",J389&lt;&gt;""),K389*J389,"")</f>
        <v/>
      </c>
      <c r="M389" s="13" t="str">
        <f aca="false">IF(AND(F389&lt;&gt;"",G389&lt;&gt;"",H389&lt;&gt;""),IF(E389="Long",(H389-F389)/(F389-G389),(F389-H389)/(G389-F389)),"")</f>
        <v/>
      </c>
      <c r="N389" s="13" t="str">
        <f aca="false">IF(AND(F389&lt;&gt;"",G389&lt;&gt;"",I389&lt;&gt;""),IF(E389="Long",(I389-F389)/(F389-G389),(F389-I389)/(G389-F389)),"")</f>
        <v/>
      </c>
      <c r="O389" s="9" t="str">
        <f aca="false">IF(L389="","",IF(L389&gt;0,"Win",IF(L389&lt;0,"Loss","Break Even")))</f>
        <v/>
      </c>
      <c r="P389" s="9"/>
      <c r="Q389" s="9"/>
      <c r="R389" s="9"/>
    </row>
    <row r="390" customFormat="false" ht="15" hidden="false" customHeight="false" outlineLevel="0" collapsed="false">
      <c r="A390" s="4" t="str">
        <f aca="false">IF(B390&lt;&gt;"",ROW()-3,"")</f>
        <v/>
      </c>
      <c r="B390" s="5"/>
      <c r="C390" s="4" t="str">
        <f aca="false">IF(B390&lt;&gt;"",TEXT(B390,"DDDD"),"")</f>
        <v/>
      </c>
      <c r="D390" s="4"/>
      <c r="E390" s="4"/>
      <c r="F390" s="4"/>
      <c r="G390" s="4"/>
      <c r="H390" s="4"/>
      <c r="I390" s="4"/>
      <c r="J390" s="4"/>
      <c r="K390" s="6" t="str">
        <f aca="false">IF(AND(B390&lt;&gt;"",I390&lt;&gt;"",F390&lt;&gt;""),IF(E390="Long",(I390-F390)*20,(F390-I390)*20),"")</f>
        <v/>
      </c>
      <c r="L390" s="7" t="str">
        <f aca="false">IF(AND(K390&lt;&gt;"",J390&lt;&gt;""),K390*J390,"")</f>
        <v/>
      </c>
      <c r="M390" s="8" t="str">
        <f aca="false">IF(AND(F390&lt;&gt;"",G390&lt;&gt;"",H390&lt;&gt;""),IF(E390="Long",(H390-F390)/(F390-G390),(F390-H390)/(G390-F390)),"")</f>
        <v/>
      </c>
      <c r="N390" s="8" t="str">
        <f aca="false">IF(AND(F390&lt;&gt;"",G390&lt;&gt;"",I390&lt;&gt;""),IF(E390="Long",(I390-F390)/(F390-G390),(F390-I390)/(G390-F390)),"")</f>
        <v/>
      </c>
      <c r="O390" s="4" t="str">
        <f aca="false">IF(L390="","",IF(L390&gt;0,"Win",IF(L390&lt;0,"Loss","Break Even")))</f>
        <v/>
      </c>
      <c r="P390" s="4"/>
      <c r="Q390" s="4"/>
      <c r="R390" s="4"/>
    </row>
    <row r="391" customFormat="false" ht="15" hidden="false" customHeight="false" outlineLevel="0" collapsed="false">
      <c r="A391" s="9" t="str">
        <f aca="false">IF(B391&lt;&gt;"",ROW()-3,"")</f>
        <v/>
      </c>
      <c r="B391" s="10"/>
      <c r="C391" s="9" t="str">
        <f aca="false">IF(B391&lt;&gt;"",TEXT(B391,"DDDD"),"")</f>
        <v/>
      </c>
      <c r="D391" s="9"/>
      <c r="E391" s="9"/>
      <c r="F391" s="9"/>
      <c r="G391" s="9"/>
      <c r="H391" s="9"/>
      <c r="I391" s="9"/>
      <c r="J391" s="9"/>
      <c r="K391" s="11" t="str">
        <f aca="false">IF(AND(B391&lt;&gt;"",I391&lt;&gt;"",F391&lt;&gt;""),IF(E391="Long",(I391-F391)*20,(F391-I391)*20),"")</f>
        <v/>
      </c>
      <c r="L391" s="12" t="str">
        <f aca="false">IF(AND(K391&lt;&gt;"",J391&lt;&gt;""),K391*J391,"")</f>
        <v/>
      </c>
      <c r="M391" s="13" t="str">
        <f aca="false">IF(AND(F391&lt;&gt;"",G391&lt;&gt;"",H391&lt;&gt;""),IF(E391="Long",(H391-F391)/(F391-G391),(F391-H391)/(G391-F391)),"")</f>
        <v/>
      </c>
      <c r="N391" s="13" t="str">
        <f aca="false">IF(AND(F391&lt;&gt;"",G391&lt;&gt;"",I391&lt;&gt;""),IF(E391="Long",(I391-F391)/(F391-G391),(F391-I391)/(G391-F391)),"")</f>
        <v/>
      </c>
      <c r="O391" s="9" t="str">
        <f aca="false">IF(L391="","",IF(L391&gt;0,"Win",IF(L391&lt;0,"Loss","Break Even")))</f>
        <v/>
      </c>
      <c r="P391" s="9"/>
      <c r="Q391" s="9"/>
      <c r="R391" s="9"/>
    </row>
    <row r="392" customFormat="false" ht="15" hidden="false" customHeight="false" outlineLevel="0" collapsed="false">
      <c r="A392" s="4" t="str">
        <f aca="false">IF(B392&lt;&gt;"",ROW()-3,"")</f>
        <v/>
      </c>
      <c r="B392" s="5"/>
      <c r="C392" s="4" t="str">
        <f aca="false">IF(B392&lt;&gt;"",TEXT(B392,"DDDD"),"")</f>
        <v/>
      </c>
      <c r="D392" s="4"/>
      <c r="E392" s="4"/>
      <c r="F392" s="4"/>
      <c r="G392" s="4"/>
      <c r="H392" s="4"/>
      <c r="I392" s="4"/>
      <c r="J392" s="4"/>
      <c r="K392" s="6" t="str">
        <f aca="false">IF(AND(B392&lt;&gt;"",I392&lt;&gt;"",F392&lt;&gt;""),IF(E392="Long",(I392-F392)*20,(F392-I392)*20),"")</f>
        <v/>
      </c>
      <c r="L392" s="7" t="str">
        <f aca="false">IF(AND(K392&lt;&gt;"",J392&lt;&gt;""),K392*J392,"")</f>
        <v/>
      </c>
      <c r="M392" s="8" t="str">
        <f aca="false">IF(AND(F392&lt;&gt;"",G392&lt;&gt;"",H392&lt;&gt;""),IF(E392="Long",(H392-F392)/(F392-G392),(F392-H392)/(G392-F392)),"")</f>
        <v/>
      </c>
      <c r="N392" s="8" t="str">
        <f aca="false">IF(AND(F392&lt;&gt;"",G392&lt;&gt;"",I392&lt;&gt;""),IF(E392="Long",(I392-F392)/(F392-G392),(F392-I392)/(G392-F392)),"")</f>
        <v/>
      </c>
      <c r="O392" s="4" t="str">
        <f aca="false">IF(L392="","",IF(L392&gt;0,"Win",IF(L392&lt;0,"Loss","Break Even")))</f>
        <v/>
      </c>
      <c r="P392" s="4"/>
      <c r="Q392" s="4"/>
      <c r="R392" s="4"/>
    </row>
    <row r="393" customFormat="false" ht="15" hidden="false" customHeight="false" outlineLevel="0" collapsed="false">
      <c r="A393" s="9" t="str">
        <f aca="false">IF(B393&lt;&gt;"",ROW()-3,"")</f>
        <v/>
      </c>
      <c r="B393" s="10"/>
      <c r="C393" s="9" t="str">
        <f aca="false">IF(B393&lt;&gt;"",TEXT(B393,"DDDD"),"")</f>
        <v/>
      </c>
      <c r="D393" s="9"/>
      <c r="E393" s="9"/>
      <c r="F393" s="9"/>
      <c r="G393" s="9"/>
      <c r="H393" s="9"/>
      <c r="I393" s="9"/>
      <c r="J393" s="9"/>
      <c r="K393" s="11" t="str">
        <f aca="false">IF(AND(B393&lt;&gt;"",I393&lt;&gt;"",F393&lt;&gt;""),IF(E393="Long",(I393-F393)*20,(F393-I393)*20),"")</f>
        <v/>
      </c>
      <c r="L393" s="12" t="str">
        <f aca="false">IF(AND(K393&lt;&gt;"",J393&lt;&gt;""),K393*J393,"")</f>
        <v/>
      </c>
      <c r="M393" s="13" t="str">
        <f aca="false">IF(AND(F393&lt;&gt;"",G393&lt;&gt;"",H393&lt;&gt;""),IF(E393="Long",(H393-F393)/(F393-G393),(F393-H393)/(G393-F393)),"")</f>
        <v/>
      </c>
      <c r="N393" s="13" t="str">
        <f aca="false">IF(AND(F393&lt;&gt;"",G393&lt;&gt;"",I393&lt;&gt;""),IF(E393="Long",(I393-F393)/(F393-G393),(F393-I393)/(G393-F393)),"")</f>
        <v/>
      </c>
      <c r="O393" s="9" t="str">
        <f aca="false">IF(L393="","",IF(L393&gt;0,"Win",IF(L393&lt;0,"Loss","Break Even")))</f>
        <v/>
      </c>
      <c r="P393" s="9"/>
      <c r="Q393" s="9"/>
      <c r="R393" s="9"/>
    </row>
    <row r="394" customFormat="false" ht="15" hidden="false" customHeight="false" outlineLevel="0" collapsed="false">
      <c r="A394" s="4" t="str">
        <f aca="false">IF(B394&lt;&gt;"",ROW()-3,"")</f>
        <v/>
      </c>
      <c r="B394" s="5"/>
      <c r="C394" s="4" t="str">
        <f aca="false">IF(B394&lt;&gt;"",TEXT(B394,"DDDD"),"")</f>
        <v/>
      </c>
      <c r="D394" s="4"/>
      <c r="E394" s="4"/>
      <c r="F394" s="4"/>
      <c r="G394" s="4"/>
      <c r="H394" s="4"/>
      <c r="I394" s="4"/>
      <c r="J394" s="4"/>
      <c r="K394" s="6" t="str">
        <f aca="false">IF(AND(B394&lt;&gt;"",I394&lt;&gt;"",F394&lt;&gt;""),IF(E394="Long",(I394-F394)*20,(F394-I394)*20),"")</f>
        <v/>
      </c>
      <c r="L394" s="7" t="str">
        <f aca="false">IF(AND(K394&lt;&gt;"",J394&lt;&gt;""),K394*J394,"")</f>
        <v/>
      </c>
      <c r="M394" s="8" t="str">
        <f aca="false">IF(AND(F394&lt;&gt;"",G394&lt;&gt;"",H394&lt;&gt;""),IF(E394="Long",(H394-F394)/(F394-G394),(F394-H394)/(G394-F394)),"")</f>
        <v/>
      </c>
      <c r="N394" s="8" t="str">
        <f aca="false">IF(AND(F394&lt;&gt;"",G394&lt;&gt;"",I394&lt;&gt;""),IF(E394="Long",(I394-F394)/(F394-G394),(F394-I394)/(G394-F394)),"")</f>
        <v/>
      </c>
      <c r="O394" s="4" t="str">
        <f aca="false">IF(L394="","",IF(L394&gt;0,"Win",IF(L394&lt;0,"Loss","Break Even")))</f>
        <v/>
      </c>
      <c r="P394" s="4"/>
      <c r="Q394" s="4"/>
      <c r="R394" s="4"/>
    </row>
    <row r="395" customFormat="false" ht="15" hidden="false" customHeight="false" outlineLevel="0" collapsed="false">
      <c r="A395" s="9" t="str">
        <f aca="false">IF(B395&lt;&gt;"",ROW()-3,"")</f>
        <v/>
      </c>
      <c r="B395" s="10"/>
      <c r="C395" s="9" t="str">
        <f aca="false">IF(B395&lt;&gt;"",TEXT(B395,"DDDD"),"")</f>
        <v/>
      </c>
      <c r="D395" s="9"/>
      <c r="E395" s="9"/>
      <c r="F395" s="9"/>
      <c r="G395" s="9"/>
      <c r="H395" s="9"/>
      <c r="I395" s="9"/>
      <c r="J395" s="9"/>
      <c r="K395" s="11" t="str">
        <f aca="false">IF(AND(B395&lt;&gt;"",I395&lt;&gt;"",F395&lt;&gt;""),IF(E395="Long",(I395-F395)*20,(F395-I395)*20),"")</f>
        <v/>
      </c>
      <c r="L395" s="12" t="str">
        <f aca="false">IF(AND(K395&lt;&gt;"",J395&lt;&gt;""),K395*J395,"")</f>
        <v/>
      </c>
      <c r="M395" s="13" t="str">
        <f aca="false">IF(AND(F395&lt;&gt;"",G395&lt;&gt;"",H395&lt;&gt;""),IF(E395="Long",(H395-F395)/(F395-G395),(F395-H395)/(G395-F395)),"")</f>
        <v/>
      </c>
      <c r="N395" s="13" t="str">
        <f aca="false">IF(AND(F395&lt;&gt;"",G395&lt;&gt;"",I395&lt;&gt;""),IF(E395="Long",(I395-F395)/(F395-G395),(F395-I395)/(G395-F395)),"")</f>
        <v/>
      </c>
      <c r="O395" s="9" t="str">
        <f aca="false">IF(L395="","",IF(L395&gt;0,"Win",IF(L395&lt;0,"Loss","Break Even")))</f>
        <v/>
      </c>
      <c r="P395" s="9"/>
      <c r="Q395" s="9"/>
      <c r="R395" s="9"/>
    </row>
    <row r="396" customFormat="false" ht="15" hidden="false" customHeight="false" outlineLevel="0" collapsed="false">
      <c r="A396" s="4" t="str">
        <f aca="false">IF(B396&lt;&gt;"",ROW()-3,"")</f>
        <v/>
      </c>
      <c r="B396" s="5"/>
      <c r="C396" s="4" t="str">
        <f aca="false">IF(B396&lt;&gt;"",TEXT(B396,"DDDD"),"")</f>
        <v/>
      </c>
      <c r="D396" s="4"/>
      <c r="E396" s="4"/>
      <c r="F396" s="4"/>
      <c r="G396" s="4"/>
      <c r="H396" s="4"/>
      <c r="I396" s="4"/>
      <c r="J396" s="4"/>
      <c r="K396" s="6" t="str">
        <f aca="false">IF(AND(B396&lt;&gt;"",I396&lt;&gt;"",F396&lt;&gt;""),IF(E396="Long",(I396-F396)*20,(F396-I396)*20),"")</f>
        <v/>
      </c>
      <c r="L396" s="7" t="str">
        <f aca="false">IF(AND(K396&lt;&gt;"",J396&lt;&gt;""),K396*J396,"")</f>
        <v/>
      </c>
      <c r="M396" s="8" t="str">
        <f aca="false">IF(AND(F396&lt;&gt;"",G396&lt;&gt;"",H396&lt;&gt;""),IF(E396="Long",(H396-F396)/(F396-G396),(F396-H396)/(G396-F396)),"")</f>
        <v/>
      </c>
      <c r="N396" s="8" t="str">
        <f aca="false">IF(AND(F396&lt;&gt;"",G396&lt;&gt;"",I396&lt;&gt;""),IF(E396="Long",(I396-F396)/(F396-G396),(F396-I396)/(G396-F396)),"")</f>
        <v/>
      </c>
      <c r="O396" s="4" t="str">
        <f aca="false">IF(L396="","",IF(L396&gt;0,"Win",IF(L396&lt;0,"Loss","Break Even")))</f>
        <v/>
      </c>
      <c r="P396" s="4"/>
      <c r="Q396" s="4"/>
      <c r="R396" s="4"/>
    </row>
    <row r="397" customFormat="false" ht="15" hidden="false" customHeight="false" outlineLevel="0" collapsed="false">
      <c r="A397" s="9" t="str">
        <f aca="false">IF(B397&lt;&gt;"",ROW()-3,"")</f>
        <v/>
      </c>
      <c r="B397" s="10"/>
      <c r="C397" s="9" t="str">
        <f aca="false">IF(B397&lt;&gt;"",TEXT(B397,"DDDD"),"")</f>
        <v/>
      </c>
      <c r="D397" s="9"/>
      <c r="E397" s="9"/>
      <c r="F397" s="9"/>
      <c r="G397" s="9"/>
      <c r="H397" s="9"/>
      <c r="I397" s="9"/>
      <c r="J397" s="9"/>
      <c r="K397" s="11" t="str">
        <f aca="false">IF(AND(B397&lt;&gt;"",I397&lt;&gt;"",F397&lt;&gt;""),IF(E397="Long",(I397-F397)*20,(F397-I397)*20),"")</f>
        <v/>
      </c>
      <c r="L397" s="12" t="str">
        <f aca="false">IF(AND(K397&lt;&gt;"",J397&lt;&gt;""),K397*J397,"")</f>
        <v/>
      </c>
      <c r="M397" s="13" t="str">
        <f aca="false">IF(AND(F397&lt;&gt;"",G397&lt;&gt;"",H397&lt;&gt;""),IF(E397="Long",(H397-F397)/(F397-G397),(F397-H397)/(G397-F397)),"")</f>
        <v/>
      </c>
      <c r="N397" s="13" t="str">
        <f aca="false">IF(AND(F397&lt;&gt;"",G397&lt;&gt;"",I397&lt;&gt;""),IF(E397="Long",(I397-F397)/(F397-G397),(F397-I397)/(G397-F397)),"")</f>
        <v/>
      </c>
      <c r="O397" s="9" t="str">
        <f aca="false">IF(L397="","",IF(L397&gt;0,"Win",IF(L397&lt;0,"Loss","Break Even")))</f>
        <v/>
      </c>
      <c r="P397" s="9"/>
      <c r="Q397" s="9"/>
      <c r="R397" s="9"/>
    </row>
    <row r="398" customFormat="false" ht="15" hidden="false" customHeight="false" outlineLevel="0" collapsed="false">
      <c r="A398" s="4" t="str">
        <f aca="false">IF(B398&lt;&gt;"",ROW()-3,"")</f>
        <v/>
      </c>
      <c r="B398" s="5"/>
      <c r="C398" s="4" t="str">
        <f aca="false">IF(B398&lt;&gt;"",TEXT(B398,"DDDD"),"")</f>
        <v/>
      </c>
      <c r="D398" s="4"/>
      <c r="E398" s="4"/>
      <c r="F398" s="4"/>
      <c r="G398" s="4"/>
      <c r="H398" s="4"/>
      <c r="I398" s="4"/>
      <c r="J398" s="4"/>
      <c r="K398" s="6" t="str">
        <f aca="false">IF(AND(B398&lt;&gt;"",I398&lt;&gt;"",F398&lt;&gt;""),IF(E398="Long",(I398-F398)*20,(F398-I398)*20),"")</f>
        <v/>
      </c>
      <c r="L398" s="7" t="str">
        <f aca="false">IF(AND(K398&lt;&gt;"",J398&lt;&gt;""),K398*J398,"")</f>
        <v/>
      </c>
      <c r="M398" s="8" t="str">
        <f aca="false">IF(AND(F398&lt;&gt;"",G398&lt;&gt;"",H398&lt;&gt;""),IF(E398="Long",(H398-F398)/(F398-G398),(F398-H398)/(G398-F398)),"")</f>
        <v/>
      </c>
      <c r="N398" s="8" t="str">
        <f aca="false">IF(AND(F398&lt;&gt;"",G398&lt;&gt;"",I398&lt;&gt;""),IF(E398="Long",(I398-F398)/(F398-G398),(F398-I398)/(G398-F398)),"")</f>
        <v/>
      </c>
      <c r="O398" s="4" t="str">
        <f aca="false">IF(L398="","",IF(L398&gt;0,"Win",IF(L398&lt;0,"Loss","Break Even")))</f>
        <v/>
      </c>
      <c r="P398" s="4"/>
      <c r="Q398" s="4"/>
      <c r="R398" s="4"/>
    </row>
    <row r="399" customFormat="false" ht="15" hidden="false" customHeight="false" outlineLevel="0" collapsed="false">
      <c r="A399" s="9" t="str">
        <f aca="false">IF(B399&lt;&gt;"",ROW()-3,"")</f>
        <v/>
      </c>
      <c r="B399" s="10"/>
      <c r="C399" s="9" t="str">
        <f aca="false">IF(B399&lt;&gt;"",TEXT(B399,"DDDD"),"")</f>
        <v/>
      </c>
      <c r="D399" s="9"/>
      <c r="E399" s="9"/>
      <c r="F399" s="9"/>
      <c r="G399" s="9"/>
      <c r="H399" s="9"/>
      <c r="I399" s="9"/>
      <c r="J399" s="9"/>
      <c r="K399" s="11" t="str">
        <f aca="false">IF(AND(B399&lt;&gt;"",I399&lt;&gt;"",F399&lt;&gt;""),IF(E399="Long",(I399-F399)*20,(F399-I399)*20),"")</f>
        <v/>
      </c>
      <c r="L399" s="12" t="str">
        <f aca="false">IF(AND(K399&lt;&gt;"",J399&lt;&gt;""),K399*J399,"")</f>
        <v/>
      </c>
      <c r="M399" s="13" t="str">
        <f aca="false">IF(AND(F399&lt;&gt;"",G399&lt;&gt;"",H399&lt;&gt;""),IF(E399="Long",(H399-F399)/(F399-G399),(F399-H399)/(G399-F399)),"")</f>
        <v/>
      </c>
      <c r="N399" s="13" t="str">
        <f aca="false">IF(AND(F399&lt;&gt;"",G399&lt;&gt;"",I399&lt;&gt;""),IF(E399="Long",(I399-F399)/(F399-G399),(F399-I399)/(G399-F399)),"")</f>
        <v/>
      </c>
      <c r="O399" s="9" t="str">
        <f aca="false">IF(L399="","",IF(L399&gt;0,"Win",IF(L399&lt;0,"Loss","Break Even")))</f>
        <v/>
      </c>
      <c r="P399" s="9"/>
      <c r="Q399" s="9"/>
      <c r="R399" s="9"/>
    </row>
    <row r="400" customFormat="false" ht="15" hidden="false" customHeight="false" outlineLevel="0" collapsed="false">
      <c r="A400" s="4" t="str">
        <f aca="false">IF(B400&lt;&gt;"",ROW()-3,"")</f>
        <v/>
      </c>
      <c r="B400" s="5"/>
      <c r="C400" s="4" t="str">
        <f aca="false">IF(B400&lt;&gt;"",TEXT(B400,"DDDD"),"")</f>
        <v/>
      </c>
      <c r="D400" s="4"/>
      <c r="E400" s="4"/>
      <c r="F400" s="4"/>
      <c r="G400" s="4"/>
      <c r="H400" s="4"/>
      <c r="I400" s="4"/>
      <c r="J400" s="4"/>
      <c r="K400" s="6" t="str">
        <f aca="false">IF(AND(B400&lt;&gt;"",I400&lt;&gt;"",F400&lt;&gt;""),IF(E400="Long",(I400-F400)*20,(F400-I400)*20),"")</f>
        <v/>
      </c>
      <c r="L400" s="7" t="str">
        <f aca="false">IF(AND(K400&lt;&gt;"",J400&lt;&gt;""),K400*J400,"")</f>
        <v/>
      </c>
      <c r="M400" s="8" t="str">
        <f aca="false">IF(AND(F400&lt;&gt;"",G400&lt;&gt;"",H400&lt;&gt;""),IF(E400="Long",(H400-F400)/(F400-G400),(F400-H400)/(G400-F400)),"")</f>
        <v/>
      </c>
      <c r="N400" s="8" t="str">
        <f aca="false">IF(AND(F400&lt;&gt;"",G400&lt;&gt;"",I400&lt;&gt;""),IF(E400="Long",(I400-F400)/(F400-G400),(F400-I400)/(G400-F400)),"")</f>
        <v/>
      </c>
      <c r="O400" s="4" t="str">
        <f aca="false">IF(L400="","",IF(L400&gt;0,"Win",IF(L400&lt;0,"Loss","Break Even")))</f>
        <v/>
      </c>
      <c r="P400" s="4"/>
      <c r="Q400" s="4"/>
      <c r="R400" s="4"/>
    </row>
    <row r="401" customFormat="false" ht="15" hidden="false" customHeight="false" outlineLevel="0" collapsed="false">
      <c r="A401" s="9" t="str">
        <f aca="false">IF(B401&lt;&gt;"",ROW()-3,"")</f>
        <v/>
      </c>
      <c r="B401" s="10"/>
      <c r="C401" s="9" t="str">
        <f aca="false">IF(B401&lt;&gt;"",TEXT(B401,"DDDD"),"")</f>
        <v/>
      </c>
      <c r="D401" s="9"/>
      <c r="E401" s="9"/>
      <c r="F401" s="9"/>
      <c r="G401" s="9"/>
      <c r="H401" s="9"/>
      <c r="I401" s="9"/>
      <c r="J401" s="9"/>
      <c r="K401" s="11" t="str">
        <f aca="false">IF(AND(B401&lt;&gt;"",I401&lt;&gt;"",F401&lt;&gt;""),IF(E401="Long",(I401-F401)*20,(F401-I401)*20),"")</f>
        <v/>
      </c>
      <c r="L401" s="12" t="str">
        <f aca="false">IF(AND(K401&lt;&gt;"",J401&lt;&gt;""),K401*J401,"")</f>
        <v/>
      </c>
      <c r="M401" s="13" t="str">
        <f aca="false">IF(AND(F401&lt;&gt;"",G401&lt;&gt;"",H401&lt;&gt;""),IF(E401="Long",(H401-F401)/(F401-G401),(F401-H401)/(G401-F401)),"")</f>
        <v/>
      </c>
      <c r="N401" s="13" t="str">
        <f aca="false">IF(AND(F401&lt;&gt;"",G401&lt;&gt;"",I401&lt;&gt;""),IF(E401="Long",(I401-F401)/(F401-G401),(F401-I401)/(G401-F401)),"")</f>
        <v/>
      </c>
      <c r="O401" s="9" t="str">
        <f aca="false">IF(L401="","",IF(L401&gt;0,"Win",IF(L401&lt;0,"Loss","Break Even")))</f>
        <v/>
      </c>
      <c r="P401" s="9"/>
      <c r="Q401" s="9"/>
      <c r="R401" s="9"/>
    </row>
    <row r="402" customFormat="false" ht="15" hidden="false" customHeight="false" outlineLevel="0" collapsed="false">
      <c r="A402" s="4" t="str">
        <f aca="false">IF(B402&lt;&gt;"",ROW()-3,"")</f>
        <v/>
      </c>
      <c r="B402" s="5"/>
      <c r="C402" s="4" t="str">
        <f aca="false">IF(B402&lt;&gt;"",TEXT(B402,"DDDD"),"")</f>
        <v/>
      </c>
      <c r="D402" s="4"/>
      <c r="E402" s="4"/>
      <c r="F402" s="4"/>
      <c r="G402" s="4"/>
      <c r="H402" s="4"/>
      <c r="I402" s="4"/>
      <c r="J402" s="4"/>
      <c r="K402" s="6" t="str">
        <f aca="false">IF(AND(B402&lt;&gt;"",I402&lt;&gt;"",F402&lt;&gt;""),IF(E402="Long",(I402-F402)*20,(F402-I402)*20),"")</f>
        <v/>
      </c>
      <c r="L402" s="7" t="str">
        <f aca="false">IF(AND(K402&lt;&gt;"",J402&lt;&gt;""),K402*J402,"")</f>
        <v/>
      </c>
      <c r="M402" s="8" t="str">
        <f aca="false">IF(AND(F402&lt;&gt;"",G402&lt;&gt;"",H402&lt;&gt;""),IF(E402="Long",(H402-F402)/(F402-G402),(F402-H402)/(G402-F402)),"")</f>
        <v/>
      </c>
      <c r="N402" s="8" t="str">
        <f aca="false">IF(AND(F402&lt;&gt;"",G402&lt;&gt;"",I402&lt;&gt;""),IF(E402="Long",(I402-F402)/(F402-G402),(F402-I402)/(G402-F402)),"")</f>
        <v/>
      </c>
      <c r="O402" s="4" t="str">
        <f aca="false">IF(L402="","",IF(L402&gt;0,"Win",IF(L402&lt;0,"Loss","Break Even")))</f>
        <v/>
      </c>
      <c r="P402" s="4"/>
      <c r="Q402" s="4"/>
      <c r="R402" s="4"/>
    </row>
    <row r="403" customFormat="false" ht="15" hidden="false" customHeight="false" outlineLevel="0" collapsed="false">
      <c r="A403" s="9" t="str">
        <f aca="false">IF(B403&lt;&gt;"",ROW()-3,"")</f>
        <v/>
      </c>
      <c r="B403" s="10"/>
      <c r="C403" s="9" t="str">
        <f aca="false">IF(B403&lt;&gt;"",TEXT(B403,"DDDD"),"")</f>
        <v/>
      </c>
      <c r="D403" s="9"/>
      <c r="E403" s="9"/>
      <c r="F403" s="9"/>
      <c r="G403" s="9"/>
      <c r="H403" s="9"/>
      <c r="I403" s="9"/>
      <c r="J403" s="9"/>
      <c r="K403" s="11" t="str">
        <f aca="false">IF(AND(B403&lt;&gt;"",I403&lt;&gt;"",F403&lt;&gt;""),IF(E403="Long",(I403-F403)*20,(F403-I403)*20),"")</f>
        <v/>
      </c>
      <c r="L403" s="12" t="str">
        <f aca="false">IF(AND(K403&lt;&gt;"",J403&lt;&gt;""),K403*J403,"")</f>
        <v/>
      </c>
      <c r="M403" s="13" t="str">
        <f aca="false">IF(AND(F403&lt;&gt;"",G403&lt;&gt;"",H403&lt;&gt;""),IF(E403="Long",(H403-F403)/(F403-G403),(F403-H403)/(G403-F403)),"")</f>
        <v/>
      </c>
      <c r="N403" s="13" t="str">
        <f aca="false">IF(AND(F403&lt;&gt;"",G403&lt;&gt;"",I403&lt;&gt;""),IF(E403="Long",(I403-F403)/(F403-G403),(F403-I403)/(G403-F403)),"")</f>
        <v/>
      </c>
      <c r="O403" s="9" t="str">
        <f aca="false">IF(L403="","",IF(L403&gt;0,"Win",IF(L403&lt;0,"Loss","Break Even")))</f>
        <v/>
      </c>
      <c r="P403" s="9"/>
      <c r="Q403" s="9"/>
      <c r="R403" s="9"/>
    </row>
    <row r="404" customFormat="false" ht="15" hidden="false" customHeight="false" outlineLevel="0" collapsed="false">
      <c r="A404" s="4" t="str">
        <f aca="false">IF(B404&lt;&gt;"",ROW()-3,"")</f>
        <v/>
      </c>
      <c r="B404" s="5"/>
      <c r="C404" s="4" t="str">
        <f aca="false">IF(B404&lt;&gt;"",TEXT(B404,"DDDD"),"")</f>
        <v/>
      </c>
      <c r="D404" s="4"/>
      <c r="E404" s="4"/>
      <c r="F404" s="4"/>
      <c r="G404" s="4"/>
      <c r="H404" s="4"/>
      <c r="I404" s="4"/>
      <c r="J404" s="4"/>
      <c r="K404" s="6" t="str">
        <f aca="false">IF(AND(B404&lt;&gt;"",I404&lt;&gt;"",F404&lt;&gt;""),IF(E404="Long",(I404-F404)*20,(F404-I404)*20),"")</f>
        <v/>
      </c>
      <c r="L404" s="7" t="str">
        <f aca="false">IF(AND(K404&lt;&gt;"",J404&lt;&gt;""),K404*J404,"")</f>
        <v/>
      </c>
      <c r="M404" s="8" t="str">
        <f aca="false">IF(AND(F404&lt;&gt;"",G404&lt;&gt;"",H404&lt;&gt;""),IF(E404="Long",(H404-F404)/(F404-G404),(F404-H404)/(G404-F404)),"")</f>
        <v/>
      </c>
      <c r="N404" s="8" t="str">
        <f aca="false">IF(AND(F404&lt;&gt;"",G404&lt;&gt;"",I404&lt;&gt;""),IF(E404="Long",(I404-F404)/(F404-G404),(F404-I404)/(G404-F404)),"")</f>
        <v/>
      </c>
      <c r="O404" s="4" t="str">
        <f aca="false">IF(L404="","",IF(L404&gt;0,"Win",IF(L404&lt;0,"Loss","Break Even")))</f>
        <v/>
      </c>
      <c r="P404" s="4"/>
      <c r="Q404" s="4"/>
      <c r="R404" s="4"/>
    </row>
    <row r="405" customFormat="false" ht="15" hidden="false" customHeight="false" outlineLevel="0" collapsed="false">
      <c r="A405" s="9" t="str">
        <f aca="false">IF(B405&lt;&gt;"",ROW()-3,"")</f>
        <v/>
      </c>
      <c r="B405" s="10"/>
      <c r="C405" s="9" t="str">
        <f aca="false">IF(B405&lt;&gt;"",TEXT(B405,"DDDD"),"")</f>
        <v/>
      </c>
      <c r="D405" s="9"/>
      <c r="E405" s="9"/>
      <c r="F405" s="9"/>
      <c r="G405" s="9"/>
      <c r="H405" s="9"/>
      <c r="I405" s="9"/>
      <c r="J405" s="9"/>
      <c r="K405" s="11" t="str">
        <f aca="false">IF(AND(B405&lt;&gt;"",I405&lt;&gt;"",F405&lt;&gt;""),IF(E405="Long",(I405-F405)*20,(F405-I405)*20),"")</f>
        <v/>
      </c>
      <c r="L405" s="12" t="str">
        <f aca="false">IF(AND(K405&lt;&gt;"",J405&lt;&gt;""),K405*J405,"")</f>
        <v/>
      </c>
      <c r="M405" s="13" t="str">
        <f aca="false">IF(AND(F405&lt;&gt;"",G405&lt;&gt;"",H405&lt;&gt;""),IF(E405="Long",(H405-F405)/(F405-G405),(F405-H405)/(G405-F405)),"")</f>
        <v/>
      </c>
      <c r="N405" s="13" t="str">
        <f aca="false">IF(AND(F405&lt;&gt;"",G405&lt;&gt;"",I405&lt;&gt;""),IF(E405="Long",(I405-F405)/(F405-G405),(F405-I405)/(G405-F405)),"")</f>
        <v/>
      </c>
      <c r="O405" s="9" t="str">
        <f aca="false">IF(L405="","",IF(L405&gt;0,"Win",IF(L405&lt;0,"Loss","Break Even")))</f>
        <v/>
      </c>
      <c r="P405" s="9"/>
      <c r="Q405" s="9"/>
      <c r="R405" s="9"/>
    </row>
    <row r="406" customFormat="false" ht="15" hidden="false" customHeight="false" outlineLevel="0" collapsed="false">
      <c r="A406" s="4" t="str">
        <f aca="false">IF(B406&lt;&gt;"",ROW()-3,"")</f>
        <v/>
      </c>
      <c r="B406" s="5"/>
      <c r="C406" s="4" t="str">
        <f aca="false">IF(B406&lt;&gt;"",TEXT(B406,"DDDD"),"")</f>
        <v/>
      </c>
      <c r="D406" s="4"/>
      <c r="E406" s="4"/>
      <c r="F406" s="4"/>
      <c r="G406" s="4"/>
      <c r="H406" s="4"/>
      <c r="I406" s="4"/>
      <c r="J406" s="4"/>
      <c r="K406" s="6" t="str">
        <f aca="false">IF(AND(B406&lt;&gt;"",I406&lt;&gt;"",F406&lt;&gt;""),IF(E406="Long",(I406-F406)*20,(F406-I406)*20),"")</f>
        <v/>
      </c>
      <c r="L406" s="7" t="str">
        <f aca="false">IF(AND(K406&lt;&gt;"",J406&lt;&gt;""),K406*J406,"")</f>
        <v/>
      </c>
      <c r="M406" s="8" t="str">
        <f aca="false">IF(AND(F406&lt;&gt;"",G406&lt;&gt;"",H406&lt;&gt;""),IF(E406="Long",(H406-F406)/(F406-G406),(F406-H406)/(G406-F406)),"")</f>
        <v/>
      </c>
      <c r="N406" s="8" t="str">
        <f aca="false">IF(AND(F406&lt;&gt;"",G406&lt;&gt;"",I406&lt;&gt;""),IF(E406="Long",(I406-F406)/(F406-G406),(F406-I406)/(G406-F406)),"")</f>
        <v/>
      </c>
      <c r="O406" s="4" t="str">
        <f aca="false">IF(L406="","",IF(L406&gt;0,"Win",IF(L406&lt;0,"Loss","Break Even")))</f>
        <v/>
      </c>
      <c r="P406" s="4"/>
      <c r="Q406" s="4"/>
      <c r="R406" s="4"/>
    </row>
    <row r="407" customFormat="false" ht="15" hidden="false" customHeight="false" outlineLevel="0" collapsed="false">
      <c r="A407" s="9" t="str">
        <f aca="false">IF(B407&lt;&gt;"",ROW()-3,"")</f>
        <v/>
      </c>
      <c r="B407" s="10"/>
      <c r="C407" s="9" t="str">
        <f aca="false">IF(B407&lt;&gt;"",TEXT(B407,"DDDD"),"")</f>
        <v/>
      </c>
      <c r="D407" s="9"/>
      <c r="E407" s="9"/>
      <c r="F407" s="9"/>
      <c r="G407" s="9"/>
      <c r="H407" s="9"/>
      <c r="I407" s="9"/>
      <c r="J407" s="9"/>
      <c r="K407" s="11" t="str">
        <f aca="false">IF(AND(B407&lt;&gt;"",I407&lt;&gt;"",F407&lt;&gt;""),IF(E407="Long",(I407-F407)*20,(F407-I407)*20),"")</f>
        <v/>
      </c>
      <c r="L407" s="12" t="str">
        <f aca="false">IF(AND(K407&lt;&gt;"",J407&lt;&gt;""),K407*J407,"")</f>
        <v/>
      </c>
      <c r="M407" s="13" t="str">
        <f aca="false">IF(AND(F407&lt;&gt;"",G407&lt;&gt;"",H407&lt;&gt;""),IF(E407="Long",(H407-F407)/(F407-G407),(F407-H407)/(G407-F407)),"")</f>
        <v/>
      </c>
      <c r="N407" s="13" t="str">
        <f aca="false">IF(AND(F407&lt;&gt;"",G407&lt;&gt;"",I407&lt;&gt;""),IF(E407="Long",(I407-F407)/(F407-G407),(F407-I407)/(G407-F407)),"")</f>
        <v/>
      </c>
      <c r="O407" s="9" t="str">
        <f aca="false">IF(L407="","",IF(L407&gt;0,"Win",IF(L407&lt;0,"Loss","Break Even")))</f>
        <v/>
      </c>
      <c r="P407" s="9"/>
      <c r="Q407" s="9"/>
      <c r="R407" s="9"/>
    </row>
    <row r="408" customFormat="false" ht="15" hidden="false" customHeight="false" outlineLevel="0" collapsed="false">
      <c r="A408" s="4" t="str">
        <f aca="false">IF(B408&lt;&gt;"",ROW()-3,"")</f>
        <v/>
      </c>
      <c r="B408" s="5"/>
      <c r="C408" s="4" t="str">
        <f aca="false">IF(B408&lt;&gt;"",TEXT(B408,"DDDD"),"")</f>
        <v/>
      </c>
      <c r="D408" s="4"/>
      <c r="E408" s="4"/>
      <c r="F408" s="4"/>
      <c r="G408" s="4"/>
      <c r="H408" s="4"/>
      <c r="I408" s="4"/>
      <c r="J408" s="4"/>
      <c r="K408" s="6" t="str">
        <f aca="false">IF(AND(B408&lt;&gt;"",I408&lt;&gt;"",F408&lt;&gt;""),IF(E408="Long",(I408-F408)*20,(F408-I408)*20),"")</f>
        <v/>
      </c>
      <c r="L408" s="7" t="str">
        <f aca="false">IF(AND(K408&lt;&gt;"",J408&lt;&gt;""),K408*J408,"")</f>
        <v/>
      </c>
      <c r="M408" s="8" t="str">
        <f aca="false">IF(AND(F408&lt;&gt;"",G408&lt;&gt;"",H408&lt;&gt;""),IF(E408="Long",(H408-F408)/(F408-G408),(F408-H408)/(G408-F408)),"")</f>
        <v/>
      </c>
      <c r="N408" s="8" t="str">
        <f aca="false">IF(AND(F408&lt;&gt;"",G408&lt;&gt;"",I408&lt;&gt;""),IF(E408="Long",(I408-F408)/(F408-G408),(F408-I408)/(G408-F408)),"")</f>
        <v/>
      </c>
      <c r="O408" s="4" t="str">
        <f aca="false">IF(L408="","",IF(L408&gt;0,"Win",IF(L408&lt;0,"Loss","Break Even")))</f>
        <v/>
      </c>
      <c r="P408" s="4"/>
      <c r="Q408" s="4"/>
      <c r="R408" s="4"/>
    </row>
    <row r="409" customFormat="false" ht="15" hidden="false" customHeight="false" outlineLevel="0" collapsed="false">
      <c r="A409" s="9" t="str">
        <f aca="false">IF(B409&lt;&gt;"",ROW()-3,"")</f>
        <v/>
      </c>
      <c r="B409" s="10"/>
      <c r="C409" s="9" t="str">
        <f aca="false">IF(B409&lt;&gt;"",TEXT(B409,"DDDD"),"")</f>
        <v/>
      </c>
      <c r="D409" s="9"/>
      <c r="E409" s="9"/>
      <c r="F409" s="9"/>
      <c r="G409" s="9"/>
      <c r="H409" s="9"/>
      <c r="I409" s="9"/>
      <c r="J409" s="9"/>
      <c r="K409" s="11" t="str">
        <f aca="false">IF(AND(B409&lt;&gt;"",I409&lt;&gt;"",F409&lt;&gt;""),IF(E409="Long",(I409-F409)*20,(F409-I409)*20),"")</f>
        <v/>
      </c>
      <c r="L409" s="12" t="str">
        <f aca="false">IF(AND(K409&lt;&gt;"",J409&lt;&gt;""),K409*J409,"")</f>
        <v/>
      </c>
      <c r="M409" s="13" t="str">
        <f aca="false">IF(AND(F409&lt;&gt;"",G409&lt;&gt;"",H409&lt;&gt;""),IF(E409="Long",(H409-F409)/(F409-G409),(F409-H409)/(G409-F409)),"")</f>
        <v/>
      </c>
      <c r="N409" s="13" t="str">
        <f aca="false">IF(AND(F409&lt;&gt;"",G409&lt;&gt;"",I409&lt;&gt;""),IF(E409="Long",(I409-F409)/(F409-G409),(F409-I409)/(G409-F409)),"")</f>
        <v/>
      </c>
      <c r="O409" s="9" t="str">
        <f aca="false">IF(L409="","",IF(L409&gt;0,"Win",IF(L409&lt;0,"Loss","Break Even")))</f>
        <v/>
      </c>
      <c r="P409" s="9"/>
      <c r="Q409" s="9"/>
      <c r="R409" s="9"/>
    </row>
    <row r="410" customFormat="false" ht="15" hidden="false" customHeight="false" outlineLevel="0" collapsed="false">
      <c r="A410" s="4" t="str">
        <f aca="false">IF(B410&lt;&gt;"",ROW()-3,"")</f>
        <v/>
      </c>
      <c r="B410" s="5"/>
      <c r="C410" s="4" t="str">
        <f aca="false">IF(B410&lt;&gt;"",TEXT(B410,"DDDD"),"")</f>
        <v/>
      </c>
      <c r="D410" s="4"/>
      <c r="E410" s="4"/>
      <c r="F410" s="4"/>
      <c r="G410" s="4"/>
      <c r="H410" s="4"/>
      <c r="I410" s="4"/>
      <c r="J410" s="4"/>
      <c r="K410" s="6" t="str">
        <f aca="false">IF(AND(B410&lt;&gt;"",I410&lt;&gt;"",F410&lt;&gt;""),IF(E410="Long",(I410-F410)*20,(F410-I410)*20),"")</f>
        <v/>
      </c>
      <c r="L410" s="7" t="str">
        <f aca="false">IF(AND(K410&lt;&gt;"",J410&lt;&gt;""),K410*J410,"")</f>
        <v/>
      </c>
      <c r="M410" s="8" t="str">
        <f aca="false">IF(AND(F410&lt;&gt;"",G410&lt;&gt;"",H410&lt;&gt;""),IF(E410="Long",(H410-F410)/(F410-G410),(F410-H410)/(G410-F410)),"")</f>
        <v/>
      </c>
      <c r="N410" s="8" t="str">
        <f aca="false">IF(AND(F410&lt;&gt;"",G410&lt;&gt;"",I410&lt;&gt;""),IF(E410="Long",(I410-F410)/(F410-G410),(F410-I410)/(G410-F410)),"")</f>
        <v/>
      </c>
      <c r="O410" s="4" t="str">
        <f aca="false">IF(L410="","",IF(L410&gt;0,"Win",IF(L410&lt;0,"Loss","Break Even")))</f>
        <v/>
      </c>
      <c r="P410" s="4"/>
      <c r="Q410" s="4"/>
      <c r="R410" s="4"/>
    </row>
    <row r="411" customFormat="false" ht="15" hidden="false" customHeight="false" outlineLevel="0" collapsed="false">
      <c r="A411" s="9" t="str">
        <f aca="false">IF(B411&lt;&gt;"",ROW()-3,"")</f>
        <v/>
      </c>
      <c r="B411" s="10"/>
      <c r="C411" s="9" t="str">
        <f aca="false">IF(B411&lt;&gt;"",TEXT(B411,"DDDD"),"")</f>
        <v/>
      </c>
      <c r="D411" s="9"/>
      <c r="E411" s="9"/>
      <c r="F411" s="9"/>
      <c r="G411" s="9"/>
      <c r="H411" s="9"/>
      <c r="I411" s="9"/>
      <c r="J411" s="9"/>
      <c r="K411" s="11" t="str">
        <f aca="false">IF(AND(B411&lt;&gt;"",I411&lt;&gt;"",F411&lt;&gt;""),IF(E411="Long",(I411-F411)*20,(F411-I411)*20),"")</f>
        <v/>
      </c>
      <c r="L411" s="12" t="str">
        <f aca="false">IF(AND(K411&lt;&gt;"",J411&lt;&gt;""),K411*J411,"")</f>
        <v/>
      </c>
      <c r="M411" s="13" t="str">
        <f aca="false">IF(AND(F411&lt;&gt;"",G411&lt;&gt;"",H411&lt;&gt;""),IF(E411="Long",(H411-F411)/(F411-G411),(F411-H411)/(G411-F411)),"")</f>
        <v/>
      </c>
      <c r="N411" s="13" t="str">
        <f aca="false">IF(AND(F411&lt;&gt;"",G411&lt;&gt;"",I411&lt;&gt;""),IF(E411="Long",(I411-F411)/(F411-G411),(F411-I411)/(G411-F411)),"")</f>
        <v/>
      </c>
      <c r="O411" s="9" t="str">
        <f aca="false">IF(L411="","",IF(L411&gt;0,"Win",IF(L411&lt;0,"Loss","Break Even")))</f>
        <v/>
      </c>
      <c r="P411" s="9"/>
      <c r="Q411" s="9"/>
      <c r="R411" s="9"/>
    </row>
    <row r="412" customFormat="false" ht="15" hidden="false" customHeight="false" outlineLevel="0" collapsed="false">
      <c r="A412" s="4" t="str">
        <f aca="false">IF(B412&lt;&gt;"",ROW()-3,"")</f>
        <v/>
      </c>
      <c r="B412" s="5"/>
      <c r="C412" s="4" t="str">
        <f aca="false">IF(B412&lt;&gt;"",TEXT(B412,"DDDD"),"")</f>
        <v/>
      </c>
      <c r="D412" s="4"/>
      <c r="E412" s="4"/>
      <c r="F412" s="4"/>
      <c r="G412" s="4"/>
      <c r="H412" s="4"/>
      <c r="I412" s="4"/>
      <c r="J412" s="4"/>
      <c r="K412" s="6" t="str">
        <f aca="false">IF(AND(B412&lt;&gt;"",I412&lt;&gt;"",F412&lt;&gt;""),IF(E412="Long",(I412-F412)*20,(F412-I412)*20),"")</f>
        <v/>
      </c>
      <c r="L412" s="7" t="str">
        <f aca="false">IF(AND(K412&lt;&gt;"",J412&lt;&gt;""),K412*J412,"")</f>
        <v/>
      </c>
      <c r="M412" s="8" t="str">
        <f aca="false">IF(AND(F412&lt;&gt;"",G412&lt;&gt;"",H412&lt;&gt;""),IF(E412="Long",(H412-F412)/(F412-G412),(F412-H412)/(G412-F412)),"")</f>
        <v/>
      </c>
      <c r="N412" s="8" t="str">
        <f aca="false">IF(AND(F412&lt;&gt;"",G412&lt;&gt;"",I412&lt;&gt;""),IF(E412="Long",(I412-F412)/(F412-G412),(F412-I412)/(G412-F412)),"")</f>
        <v/>
      </c>
      <c r="O412" s="4" t="str">
        <f aca="false">IF(L412="","",IF(L412&gt;0,"Win",IF(L412&lt;0,"Loss","Break Even")))</f>
        <v/>
      </c>
      <c r="P412" s="4"/>
      <c r="Q412" s="4"/>
      <c r="R412" s="4"/>
    </row>
    <row r="413" customFormat="false" ht="15" hidden="false" customHeight="false" outlineLevel="0" collapsed="false">
      <c r="A413" s="9" t="str">
        <f aca="false">IF(B413&lt;&gt;"",ROW()-3,"")</f>
        <v/>
      </c>
      <c r="B413" s="10"/>
      <c r="C413" s="9" t="str">
        <f aca="false">IF(B413&lt;&gt;"",TEXT(B413,"DDDD"),"")</f>
        <v/>
      </c>
      <c r="D413" s="9"/>
      <c r="E413" s="9"/>
      <c r="F413" s="9"/>
      <c r="G413" s="9"/>
      <c r="H413" s="9"/>
      <c r="I413" s="9"/>
      <c r="J413" s="9"/>
      <c r="K413" s="11" t="str">
        <f aca="false">IF(AND(B413&lt;&gt;"",I413&lt;&gt;"",F413&lt;&gt;""),IF(E413="Long",(I413-F413)*20,(F413-I413)*20),"")</f>
        <v/>
      </c>
      <c r="L413" s="12" t="str">
        <f aca="false">IF(AND(K413&lt;&gt;"",J413&lt;&gt;""),K413*J413,"")</f>
        <v/>
      </c>
      <c r="M413" s="13" t="str">
        <f aca="false">IF(AND(F413&lt;&gt;"",G413&lt;&gt;"",H413&lt;&gt;""),IF(E413="Long",(H413-F413)/(F413-G413),(F413-H413)/(G413-F413)),"")</f>
        <v/>
      </c>
      <c r="N413" s="13" t="str">
        <f aca="false">IF(AND(F413&lt;&gt;"",G413&lt;&gt;"",I413&lt;&gt;""),IF(E413="Long",(I413-F413)/(F413-G413),(F413-I413)/(G413-F413)),"")</f>
        <v/>
      </c>
      <c r="O413" s="9" t="str">
        <f aca="false">IF(L413="","",IF(L413&gt;0,"Win",IF(L413&lt;0,"Loss","Break Even")))</f>
        <v/>
      </c>
      <c r="P413" s="9"/>
      <c r="Q413" s="9"/>
      <c r="R413" s="9"/>
    </row>
    <row r="414" customFormat="false" ht="15" hidden="false" customHeight="false" outlineLevel="0" collapsed="false">
      <c r="A414" s="4" t="str">
        <f aca="false">IF(B414&lt;&gt;"",ROW()-3,"")</f>
        <v/>
      </c>
      <c r="B414" s="5"/>
      <c r="C414" s="4" t="str">
        <f aca="false">IF(B414&lt;&gt;"",TEXT(B414,"DDDD"),"")</f>
        <v/>
      </c>
      <c r="D414" s="4"/>
      <c r="E414" s="4"/>
      <c r="F414" s="4"/>
      <c r="G414" s="4"/>
      <c r="H414" s="4"/>
      <c r="I414" s="4"/>
      <c r="J414" s="4"/>
      <c r="K414" s="6" t="str">
        <f aca="false">IF(AND(B414&lt;&gt;"",I414&lt;&gt;"",F414&lt;&gt;""),IF(E414="Long",(I414-F414)*20,(F414-I414)*20),"")</f>
        <v/>
      </c>
      <c r="L414" s="7" t="str">
        <f aca="false">IF(AND(K414&lt;&gt;"",J414&lt;&gt;""),K414*J414,"")</f>
        <v/>
      </c>
      <c r="M414" s="8" t="str">
        <f aca="false">IF(AND(F414&lt;&gt;"",G414&lt;&gt;"",H414&lt;&gt;""),IF(E414="Long",(H414-F414)/(F414-G414),(F414-H414)/(G414-F414)),"")</f>
        <v/>
      </c>
      <c r="N414" s="8" t="str">
        <f aca="false">IF(AND(F414&lt;&gt;"",G414&lt;&gt;"",I414&lt;&gt;""),IF(E414="Long",(I414-F414)/(F414-G414),(F414-I414)/(G414-F414)),"")</f>
        <v/>
      </c>
      <c r="O414" s="4" t="str">
        <f aca="false">IF(L414="","",IF(L414&gt;0,"Win",IF(L414&lt;0,"Loss","Break Even")))</f>
        <v/>
      </c>
      <c r="P414" s="4"/>
      <c r="Q414" s="4"/>
      <c r="R414" s="4"/>
    </row>
    <row r="415" customFormat="false" ht="15" hidden="false" customHeight="false" outlineLevel="0" collapsed="false">
      <c r="A415" s="9" t="str">
        <f aca="false">IF(B415&lt;&gt;"",ROW()-3,"")</f>
        <v/>
      </c>
      <c r="B415" s="10"/>
      <c r="C415" s="9" t="str">
        <f aca="false">IF(B415&lt;&gt;"",TEXT(B415,"DDDD"),"")</f>
        <v/>
      </c>
      <c r="D415" s="9"/>
      <c r="E415" s="9"/>
      <c r="F415" s="9"/>
      <c r="G415" s="9"/>
      <c r="H415" s="9"/>
      <c r="I415" s="9"/>
      <c r="J415" s="9"/>
      <c r="K415" s="11" t="str">
        <f aca="false">IF(AND(B415&lt;&gt;"",I415&lt;&gt;"",F415&lt;&gt;""),IF(E415="Long",(I415-F415)*20,(F415-I415)*20),"")</f>
        <v/>
      </c>
      <c r="L415" s="12" t="str">
        <f aca="false">IF(AND(K415&lt;&gt;"",J415&lt;&gt;""),K415*J415,"")</f>
        <v/>
      </c>
      <c r="M415" s="13" t="str">
        <f aca="false">IF(AND(F415&lt;&gt;"",G415&lt;&gt;"",H415&lt;&gt;""),IF(E415="Long",(H415-F415)/(F415-G415),(F415-H415)/(G415-F415)),"")</f>
        <v/>
      </c>
      <c r="N415" s="13" t="str">
        <f aca="false">IF(AND(F415&lt;&gt;"",G415&lt;&gt;"",I415&lt;&gt;""),IF(E415="Long",(I415-F415)/(F415-G415),(F415-I415)/(G415-F415)),"")</f>
        <v/>
      </c>
      <c r="O415" s="9" t="str">
        <f aca="false">IF(L415="","",IF(L415&gt;0,"Win",IF(L415&lt;0,"Loss","Break Even")))</f>
        <v/>
      </c>
      <c r="P415" s="9"/>
      <c r="Q415" s="9"/>
      <c r="R415" s="9"/>
    </row>
    <row r="416" customFormat="false" ht="15" hidden="false" customHeight="false" outlineLevel="0" collapsed="false">
      <c r="A416" s="4" t="str">
        <f aca="false">IF(B416&lt;&gt;"",ROW()-3,"")</f>
        <v/>
      </c>
      <c r="B416" s="5"/>
      <c r="C416" s="4" t="str">
        <f aca="false">IF(B416&lt;&gt;"",TEXT(B416,"DDDD"),"")</f>
        <v/>
      </c>
      <c r="D416" s="4"/>
      <c r="E416" s="4"/>
      <c r="F416" s="4"/>
      <c r="G416" s="4"/>
      <c r="H416" s="4"/>
      <c r="I416" s="4"/>
      <c r="J416" s="4"/>
      <c r="K416" s="6" t="str">
        <f aca="false">IF(AND(B416&lt;&gt;"",I416&lt;&gt;"",F416&lt;&gt;""),IF(E416="Long",(I416-F416)*20,(F416-I416)*20),"")</f>
        <v/>
      </c>
      <c r="L416" s="7" t="str">
        <f aca="false">IF(AND(K416&lt;&gt;"",J416&lt;&gt;""),K416*J416,"")</f>
        <v/>
      </c>
      <c r="M416" s="8" t="str">
        <f aca="false">IF(AND(F416&lt;&gt;"",G416&lt;&gt;"",H416&lt;&gt;""),IF(E416="Long",(H416-F416)/(F416-G416),(F416-H416)/(G416-F416)),"")</f>
        <v/>
      </c>
      <c r="N416" s="8" t="str">
        <f aca="false">IF(AND(F416&lt;&gt;"",G416&lt;&gt;"",I416&lt;&gt;""),IF(E416="Long",(I416-F416)/(F416-G416),(F416-I416)/(G416-F416)),"")</f>
        <v/>
      </c>
      <c r="O416" s="4" t="str">
        <f aca="false">IF(L416="","",IF(L416&gt;0,"Win",IF(L416&lt;0,"Loss","Break Even")))</f>
        <v/>
      </c>
      <c r="P416" s="4"/>
      <c r="Q416" s="4"/>
      <c r="R416" s="4"/>
    </row>
    <row r="417" customFormat="false" ht="15" hidden="false" customHeight="false" outlineLevel="0" collapsed="false">
      <c r="A417" s="9" t="str">
        <f aca="false">IF(B417&lt;&gt;"",ROW()-3,"")</f>
        <v/>
      </c>
      <c r="B417" s="10"/>
      <c r="C417" s="9" t="str">
        <f aca="false">IF(B417&lt;&gt;"",TEXT(B417,"DDDD"),"")</f>
        <v/>
      </c>
      <c r="D417" s="9"/>
      <c r="E417" s="9"/>
      <c r="F417" s="9"/>
      <c r="G417" s="9"/>
      <c r="H417" s="9"/>
      <c r="I417" s="9"/>
      <c r="J417" s="9"/>
      <c r="K417" s="11" t="str">
        <f aca="false">IF(AND(B417&lt;&gt;"",I417&lt;&gt;"",F417&lt;&gt;""),IF(E417="Long",(I417-F417)*20,(F417-I417)*20),"")</f>
        <v/>
      </c>
      <c r="L417" s="12" t="str">
        <f aca="false">IF(AND(K417&lt;&gt;"",J417&lt;&gt;""),K417*J417,"")</f>
        <v/>
      </c>
      <c r="M417" s="13" t="str">
        <f aca="false">IF(AND(F417&lt;&gt;"",G417&lt;&gt;"",H417&lt;&gt;""),IF(E417="Long",(H417-F417)/(F417-G417),(F417-H417)/(G417-F417)),"")</f>
        <v/>
      </c>
      <c r="N417" s="13" t="str">
        <f aca="false">IF(AND(F417&lt;&gt;"",G417&lt;&gt;"",I417&lt;&gt;""),IF(E417="Long",(I417-F417)/(F417-G417),(F417-I417)/(G417-F417)),"")</f>
        <v/>
      </c>
      <c r="O417" s="9" t="str">
        <f aca="false">IF(L417="","",IF(L417&gt;0,"Win",IF(L417&lt;0,"Loss","Break Even")))</f>
        <v/>
      </c>
      <c r="P417" s="9"/>
      <c r="Q417" s="9"/>
      <c r="R417" s="9"/>
    </row>
    <row r="418" customFormat="false" ht="15" hidden="false" customHeight="false" outlineLevel="0" collapsed="false">
      <c r="A418" s="4" t="str">
        <f aca="false">IF(B418&lt;&gt;"",ROW()-3,"")</f>
        <v/>
      </c>
      <c r="B418" s="5"/>
      <c r="C418" s="4" t="str">
        <f aca="false">IF(B418&lt;&gt;"",TEXT(B418,"DDDD"),"")</f>
        <v/>
      </c>
      <c r="D418" s="4"/>
      <c r="E418" s="4"/>
      <c r="F418" s="4"/>
      <c r="G418" s="4"/>
      <c r="H418" s="4"/>
      <c r="I418" s="4"/>
      <c r="J418" s="4"/>
      <c r="K418" s="6" t="str">
        <f aca="false">IF(AND(B418&lt;&gt;"",I418&lt;&gt;"",F418&lt;&gt;""),IF(E418="Long",(I418-F418)*20,(F418-I418)*20),"")</f>
        <v/>
      </c>
      <c r="L418" s="7" t="str">
        <f aca="false">IF(AND(K418&lt;&gt;"",J418&lt;&gt;""),K418*J418,"")</f>
        <v/>
      </c>
      <c r="M418" s="8" t="str">
        <f aca="false">IF(AND(F418&lt;&gt;"",G418&lt;&gt;"",H418&lt;&gt;""),IF(E418="Long",(H418-F418)/(F418-G418),(F418-H418)/(G418-F418)),"")</f>
        <v/>
      </c>
      <c r="N418" s="8" t="str">
        <f aca="false">IF(AND(F418&lt;&gt;"",G418&lt;&gt;"",I418&lt;&gt;""),IF(E418="Long",(I418-F418)/(F418-G418),(F418-I418)/(G418-F418)),"")</f>
        <v/>
      </c>
      <c r="O418" s="4" t="str">
        <f aca="false">IF(L418="","",IF(L418&gt;0,"Win",IF(L418&lt;0,"Loss","Break Even")))</f>
        <v/>
      </c>
      <c r="P418" s="4"/>
      <c r="Q418" s="4"/>
      <c r="R418" s="4"/>
    </row>
    <row r="419" customFormat="false" ht="15" hidden="false" customHeight="false" outlineLevel="0" collapsed="false">
      <c r="A419" s="9" t="str">
        <f aca="false">IF(B419&lt;&gt;"",ROW()-3,"")</f>
        <v/>
      </c>
      <c r="B419" s="10"/>
      <c r="C419" s="9" t="str">
        <f aca="false">IF(B419&lt;&gt;"",TEXT(B419,"DDDD"),"")</f>
        <v/>
      </c>
      <c r="D419" s="9"/>
      <c r="E419" s="9"/>
      <c r="F419" s="9"/>
      <c r="G419" s="9"/>
      <c r="H419" s="9"/>
      <c r="I419" s="9"/>
      <c r="J419" s="9"/>
      <c r="K419" s="11" t="str">
        <f aca="false">IF(AND(B419&lt;&gt;"",I419&lt;&gt;"",F419&lt;&gt;""),IF(E419="Long",(I419-F419)*20,(F419-I419)*20),"")</f>
        <v/>
      </c>
      <c r="L419" s="12" t="str">
        <f aca="false">IF(AND(K419&lt;&gt;"",J419&lt;&gt;""),K419*J419,"")</f>
        <v/>
      </c>
      <c r="M419" s="13" t="str">
        <f aca="false">IF(AND(F419&lt;&gt;"",G419&lt;&gt;"",H419&lt;&gt;""),IF(E419="Long",(H419-F419)/(F419-G419),(F419-H419)/(G419-F419)),"")</f>
        <v/>
      </c>
      <c r="N419" s="13" t="str">
        <f aca="false">IF(AND(F419&lt;&gt;"",G419&lt;&gt;"",I419&lt;&gt;""),IF(E419="Long",(I419-F419)/(F419-G419),(F419-I419)/(G419-F419)),"")</f>
        <v/>
      </c>
      <c r="O419" s="9" t="str">
        <f aca="false">IF(L419="","",IF(L419&gt;0,"Win",IF(L419&lt;0,"Loss","Break Even")))</f>
        <v/>
      </c>
      <c r="P419" s="9"/>
      <c r="Q419" s="9"/>
      <c r="R419" s="9"/>
    </row>
    <row r="420" customFormat="false" ht="15" hidden="false" customHeight="false" outlineLevel="0" collapsed="false">
      <c r="A420" s="4" t="str">
        <f aca="false">IF(B420&lt;&gt;"",ROW()-3,"")</f>
        <v/>
      </c>
      <c r="B420" s="5"/>
      <c r="C420" s="4" t="str">
        <f aca="false">IF(B420&lt;&gt;"",TEXT(B420,"DDDD"),"")</f>
        <v/>
      </c>
      <c r="D420" s="4"/>
      <c r="E420" s="4"/>
      <c r="F420" s="4"/>
      <c r="G420" s="4"/>
      <c r="H420" s="4"/>
      <c r="I420" s="4"/>
      <c r="J420" s="4"/>
      <c r="K420" s="6" t="str">
        <f aca="false">IF(AND(B420&lt;&gt;"",I420&lt;&gt;"",F420&lt;&gt;""),IF(E420="Long",(I420-F420)*20,(F420-I420)*20),"")</f>
        <v/>
      </c>
      <c r="L420" s="7" t="str">
        <f aca="false">IF(AND(K420&lt;&gt;"",J420&lt;&gt;""),K420*J420,"")</f>
        <v/>
      </c>
      <c r="M420" s="8" t="str">
        <f aca="false">IF(AND(F420&lt;&gt;"",G420&lt;&gt;"",H420&lt;&gt;""),IF(E420="Long",(H420-F420)/(F420-G420),(F420-H420)/(G420-F420)),"")</f>
        <v/>
      </c>
      <c r="N420" s="8" t="str">
        <f aca="false">IF(AND(F420&lt;&gt;"",G420&lt;&gt;"",I420&lt;&gt;""),IF(E420="Long",(I420-F420)/(F420-G420),(F420-I420)/(G420-F420)),"")</f>
        <v/>
      </c>
      <c r="O420" s="4" t="str">
        <f aca="false">IF(L420="","",IF(L420&gt;0,"Win",IF(L420&lt;0,"Loss","Break Even")))</f>
        <v/>
      </c>
      <c r="P420" s="4"/>
      <c r="Q420" s="4"/>
      <c r="R420" s="4"/>
    </row>
    <row r="421" customFormat="false" ht="15" hidden="false" customHeight="false" outlineLevel="0" collapsed="false">
      <c r="A421" s="9" t="str">
        <f aca="false">IF(B421&lt;&gt;"",ROW()-3,"")</f>
        <v/>
      </c>
      <c r="B421" s="10"/>
      <c r="C421" s="9" t="str">
        <f aca="false">IF(B421&lt;&gt;"",TEXT(B421,"DDDD"),"")</f>
        <v/>
      </c>
      <c r="D421" s="9"/>
      <c r="E421" s="9"/>
      <c r="F421" s="9"/>
      <c r="G421" s="9"/>
      <c r="H421" s="9"/>
      <c r="I421" s="9"/>
      <c r="J421" s="9"/>
      <c r="K421" s="11" t="str">
        <f aca="false">IF(AND(B421&lt;&gt;"",I421&lt;&gt;"",F421&lt;&gt;""),IF(E421="Long",(I421-F421)*20,(F421-I421)*20),"")</f>
        <v/>
      </c>
      <c r="L421" s="12" t="str">
        <f aca="false">IF(AND(K421&lt;&gt;"",J421&lt;&gt;""),K421*J421,"")</f>
        <v/>
      </c>
      <c r="M421" s="13" t="str">
        <f aca="false">IF(AND(F421&lt;&gt;"",G421&lt;&gt;"",H421&lt;&gt;""),IF(E421="Long",(H421-F421)/(F421-G421),(F421-H421)/(G421-F421)),"")</f>
        <v/>
      </c>
      <c r="N421" s="13" t="str">
        <f aca="false">IF(AND(F421&lt;&gt;"",G421&lt;&gt;"",I421&lt;&gt;""),IF(E421="Long",(I421-F421)/(F421-G421),(F421-I421)/(G421-F421)),"")</f>
        <v/>
      </c>
      <c r="O421" s="9" t="str">
        <f aca="false">IF(L421="","",IF(L421&gt;0,"Win",IF(L421&lt;0,"Loss","Break Even")))</f>
        <v/>
      </c>
      <c r="P421" s="9"/>
      <c r="Q421" s="9"/>
      <c r="R421" s="9"/>
    </row>
    <row r="422" customFormat="false" ht="15" hidden="false" customHeight="false" outlineLevel="0" collapsed="false">
      <c r="A422" s="4" t="str">
        <f aca="false">IF(B422&lt;&gt;"",ROW()-3,"")</f>
        <v/>
      </c>
      <c r="B422" s="5"/>
      <c r="C422" s="4" t="str">
        <f aca="false">IF(B422&lt;&gt;"",TEXT(B422,"DDDD"),"")</f>
        <v/>
      </c>
      <c r="D422" s="4"/>
      <c r="E422" s="4"/>
      <c r="F422" s="4"/>
      <c r="G422" s="4"/>
      <c r="H422" s="4"/>
      <c r="I422" s="4"/>
      <c r="J422" s="4"/>
      <c r="K422" s="6" t="str">
        <f aca="false">IF(AND(B422&lt;&gt;"",I422&lt;&gt;"",F422&lt;&gt;""),IF(E422="Long",(I422-F422)*20,(F422-I422)*20),"")</f>
        <v/>
      </c>
      <c r="L422" s="7" t="str">
        <f aca="false">IF(AND(K422&lt;&gt;"",J422&lt;&gt;""),K422*J422,"")</f>
        <v/>
      </c>
      <c r="M422" s="8" t="str">
        <f aca="false">IF(AND(F422&lt;&gt;"",G422&lt;&gt;"",H422&lt;&gt;""),IF(E422="Long",(H422-F422)/(F422-G422),(F422-H422)/(G422-F422)),"")</f>
        <v/>
      </c>
      <c r="N422" s="8" t="str">
        <f aca="false">IF(AND(F422&lt;&gt;"",G422&lt;&gt;"",I422&lt;&gt;""),IF(E422="Long",(I422-F422)/(F422-G422),(F422-I422)/(G422-F422)),"")</f>
        <v/>
      </c>
      <c r="O422" s="4" t="str">
        <f aca="false">IF(L422="","",IF(L422&gt;0,"Win",IF(L422&lt;0,"Loss","Break Even")))</f>
        <v/>
      </c>
      <c r="P422" s="4"/>
      <c r="Q422" s="4"/>
      <c r="R422" s="4"/>
    </row>
    <row r="423" customFormat="false" ht="15" hidden="false" customHeight="false" outlineLevel="0" collapsed="false">
      <c r="A423" s="9" t="str">
        <f aca="false">IF(B423&lt;&gt;"",ROW()-3,"")</f>
        <v/>
      </c>
      <c r="B423" s="10"/>
      <c r="C423" s="9" t="str">
        <f aca="false">IF(B423&lt;&gt;"",TEXT(B423,"DDDD"),"")</f>
        <v/>
      </c>
      <c r="D423" s="9"/>
      <c r="E423" s="9"/>
      <c r="F423" s="9"/>
      <c r="G423" s="9"/>
      <c r="H423" s="9"/>
      <c r="I423" s="9"/>
      <c r="J423" s="9"/>
      <c r="K423" s="11" t="str">
        <f aca="false">IF(AND(B423&lt;&gt;"",I423&lt;&gt;"",F423&lt;&gt;""),IF(E423="Long",(I423-F423)*20,(F423-I423)*20),"")</f>
        <v/>
      </c>
      <c r="L423" s="12" t="str">
        <f aca="false">IF(AND(K423&lt;&gt;"",J423&lt;&gt;""),K423*J423,"")</f>
        <v/>
      </c>
      <c r="M423" s="13" t="str">
        <f aca="false">IF(AND(F423&lt;&gt;"",G423&lt;&gt;"",H423&lt;&gt;""),IF(E423="Long",(H423-F423)/(F423-G423),(F423-H423)/(G423-F423)),"")</f>
        <v/>
      </c>
      <c r="N423" s="13" t="str">
        <f aca="false">IF(AND(F423&lt;&gt;"",G423&lt;&gt;"",I423&lt;&gt;""),IF(E423="Long",(I423-F423)/(F423-G423),(F423-I423)/(G423-F423)),"")</f>
        <v/>
      </c>
      <c r="O423" s="9" t="str">
        <f aca="false">IF(L423="","",IF(L423&gt;0,"Win",IF(L423&lt;0,"Loss","Break Even")))</f>
        <v/>
      </c>
      <c r="P423" s="9"/>
      <c r="Q423" s="9"/>
      <c r="R423" s="9"/>
    </row>
    <row r="424" customFormat="false" ht="15" hidden="false" customHeight="false" outlineLevel="0" collapsed="false">
      <c r="A424" s="4" t="str">
        <f aca="false">IF(B424&lt;&gt;"",ROW()-3,"")</f>
        <v/>
      </c>
      <c r="B424" s="5"/>
      <c r="C424" s="4" t="str">
        <f aca="false">IF(B424&lt;&gt;"",TEXT(B424,"DDDD"),"")</f>
        <v/>
      </c>
      <c r="D424" s="4"/>
      <c r="E424" s="4"/>
      <c r="F424" s="4"/>
      <c r="G424" s="4"/>
      <c r="H424" s="4"/>
      <c r="I424" s="4"/>
      <c r="J424" s="4"/>
      <c r="K424" s="6" t="str">
        <f aca="false">IF(AND(B424&lt;&gt;"",I424&lt;&gt;"",F424&lt;&gt;""),IF(E424="Long",(I424-F424)*20,(F424-I424)*20),"")</f>
        <v/>
      </c>
      <c r="L424" s="7" t="str">
        <f aca="false">IF(AND(K424&lt;&gt;"",J424&lt;&gt;""),K424*J424,"")</f>
        <v/>
      </c>
      <c r="M424" s="8" t="str">
        <f aca="false">IF(AND(F424&lt;&gt;"",G424&lt;&gt;"",H424&lt;&gt;""),IF(E424="Long",(H424-F424)/(F424-G424),(F424-H424)/(G424-F424)),"")</f>
        <v/>
      </c>
      <c r="N424" s="8" t="str">
        <f aca="false">IF(AND(F424&lt;&gt;"",G424&lt;&gt;"",I424&lt;&gt;""),IF(E424="Long",(I424-F424)/(F424-G424),(F424-I424)/(G424-F424)),"")</f>
        <v/>
      </c>
      <c r="O424" s="4" t="str">
        <f aca="false">IF(L424="","",IF(L424&gt;0,"Win",IF(L424&lt;0,"Loss","Break Even")))</f>
        <v/>
      </c>
      <c r="P424" s="4"/>
      <c r="Q424" s="4"/>
      <c r="R424" s="4"/>
    </row>
    <row r="425" customFormat="false" ht="15" hidden="false" customHeight="false" outlineLevel="0" collapsed="false">
      <c r="A425" s="9" t="str">
        <f aca="false">IF(B425&lt;&gt;"",ROW()-3,"")</f>
        <v/>
      </c>
      <c r="B425" s="10"/>
      <c r="C425" s="9" t="str">
        <f aca="false">IF(B425&lt;&gt;"",TEXT(B425,"DDDD"),"")</f>
        <v/>
      </c>
      <c r="D425" s="9"/>
      <c r="E425" s="9"/>
      <c r="F425" s="9"/>
      <c r="G425" s="9"/>
      <c r="H425" s="9"/>
      <c r="I425" s="9"/>
      <c r="J425" s="9"/>
      <c r="K425" s="11" t="str">
        <f aca="false">IF(AND(B425&lt;&gt;"",I425&lt;&gt;"",F425&lt;&gt;""),IF(E425="Long",(I425-F425)*20,(F425-I425)*20),"")</f>
        <v/>
      </c>
      <c r="L425" s="12" t="str">
        <f aca="false">IF(AND(K425&lt;&gt;"",J425&lt;&gt;""),K425*J425,"")</f>
        <v/>
      </c>
      <c r="M425" s="13" t="str">
        <f aca="false">IF(AND(F425&lt;&gt;"",G425&lt;&gt;"",H425&lt;&gt;""),IF(E425="Long",(H425-F425)/(F425-G425),(F425-H425)/(G425-F425)),"")</f>
        <v/>
      </c>
      <c r="N425" s="13" t="str">
        <f aca="false">IF(AND(F425&lt;&gt;"",G425&lt;&gt;"",I425&lt;&gt;""),IF(E425="Long",(I425-F425)/(F425-G425),(F425-I425)/(G425-F425)),"")</f>
        <v/>
      </c>
      <c r="O425" s="9" t="str">
        <f aca="false">IF(L425="","",IF(L425&gt;0,"Win",IF(L425&lt;0,"Loss","Break Even")))</f>
        <v/>
      </c>
      <c r="P425" s="9"/>
      <c r="Q425" s="9"/>
      <c r="R425" s="9"/>
    </row>
    <row r="426" customFormat="false" ht="15" hidden="false" customHeight="false" outlineLevel="0" collapsed="false">
      <c r="A426" s="4" t="str">
        <f aca="false">IF(B426&lt;&gt;"",ROW()-3,"")</f>
        <v/>
      </c>
      <c r="B426" s="5"/>
      <c r="C426" s="4" t="str">
        <f aca="false">IF(B426&lt;&gt;"",TEXT(B426,"DDDD"),"")</f>
        <v/>
      </c>
      <c r="D426" s="4"/>
      <c r="E426" s="4"/>
      <c r="F426" s="4"/>
      <c r="G426" s="4"/>
      <c r="H426" s="4"/>
      <c r="I426" s="4"/>
      <c r="J426" s="4"/>
      <c r="K426" s="6" t="str">
        <f aca="false">IF(AND(B426&lt;&gt;"",I426&lt;&gt;"",F426&lt;&gt;""),IF(E426="Long",(I426-F426)*20,(F426-I426)*20),"")</f>
        <v/>
      </c>
      <c r="L426" s="7" t="str">
        <f aca="false">IF(AND(K426&lt;&gt;"",J426&lt;&gt;""),K426*J426,"")</f>
        <v/>
      </c>
      <c r="M426" s="8" t="str">
        <f aca="false">IF(AND(F426&lt;&gt;"",G426&lt;&gt;"",H426&lt;&gt;""),IF(E426="Long",(H426-F426)/(F426-G426),(F426-H426)/(G426-F426)),"")</f>
        <v/>
      </c>
      <c r="N426" s="8" t="str">
        <f aca="false">IF(AND(F426&lt;&gt;"",G426&lt;&gt;"",I426&lt;&gt;""),IF(E426="Long",(I426-F426)/(F426-G426),(F426-I426)/(G426-F426)),"")</f>
        <v/>
      </c>
      <c r="O426" s="4" t="str">
        <f aca="false">IF(L426="","",IF(L426&gt;0,"Win",IF(L426&lt;0,"Loss","Break Even")))</f>
        <v/>
      </c>
      <c r="P426" s="4"/>
      <c r="Q426" s="4"/>
      <c r="R426" s="4"/>
    </row>
    <row r="427" customFormat="false" ht="15" hidden="false" customHeight="false" outlineLevel="0" collapsed="false">
      <c r="A427" s="9" t="str">
        <f aca="false">IF(B427&lt;&gt;"",ROW()-3,"")</f>
        <v/>
      </c>
      <c r="B427" s="10"/>
      <c r="C427" s="9" t="str">
        <f aca="false">IF(B427&lt;&gt;"",TEXT(B427,"DDDD"),"")</f>
        <v/>
      </c>
      <c r="D427" s="9"/>
      <c r="E427" s="9"/>
      <c r="F427" s="9"/>
      <c r="G427" s="9"/>
      <c r="H427" s="9"/>
      <c r="I427" s="9"/>
      <c r="J427" s="9"/>
      <c r="K427" s="11" t="str">
        <f aca="false">IF(AND(B427&lt;&gt;"",I427&lt;&gt;"",F427&lt;&gt;""),IF(E427="Long",(I427-F427)*20,(F427-I427)*20),"")</f>
        <v/>
      </c>
      <c r="L427" s="12" t="str">
        <f aca="false">IF(AND(K427&lt;&gt;"",J427&lt;&gt;""),K427*J427,"")</f>
        <v/>
      </c>
      <c r="M427" s="13" t="str">
        <f aca="false">IF(AND(F427&lt;&gt;"",G427&lt;&gt;"",H427&lt;&gt;""),IF(E427="Long",(H427-F427)/(F427-G427),(F427-H427)/(G427-F427)),"")</f>
        <v/>
      </c>
      <c r="N427" s="13" t="str">
        <f aca="false">IF(AND(F427&lt;&gt;"",G427&lt;&gt;"",I427&lt;&gt;""),IF(E427="Long",(I427-F427)/(F427-G427),(F427-I427)/(G427-F427)),"")</f>
        <v/>
      </c>
      <c r="O427" s="9" t="str">
        <f aca="false">IF(L427="","",IF(L427&gt;0,"Win",IF(L427&lt;0,"Loss","Break Even")))</f>
        <v/>
      </c>
      <c r="P427" s="9"/>
      <c r="Q427" s="9"/>
      <c r="R427" s="9"/>
    </row>
    <row r="428" customFormat="false" ht="15" hidden="false" customHeight="false" outlineLevel="0" collapsed="false">
      <c r="A428" s="4" t="str">
        <f aca="false">IF(B428&lt;&gt;"",ROW()-3,"")</f>
        <v/>
      </c>
      <c r="B428" s="5"/>
      <c r="C428" s="4" t="str">
        <f aca="false">IF(B428&lt;&gt;"",TEXT(B428,"DDDD"),"")</f>
        <v/>
      </c>
      <c r="D428" s="4"/>
      <c r="E428" s="4"/>
      <c r="F428" s="4"/>
      <c r="G428" s="4"/>
      <c r="H428" s="4"/>
      <c r="I428" s="4"/>
      <c r="J428" s="4"/>
      <c r="K428" s="6" t="str">
        <f aca="false">IF(AND(B428&lt;&gt;"",I428&lt;&gt;"",F428&lt;&gt;""),IF(E428="Long",(I428-F428)*20,(F428-I428)*20),"")</f>
        <v/>
      </c>
      <c r="L428" s="7" t="str">
        <f aca="false">IF(AND(K428&lt;&gt;"",J428&lt;&gt;""),K428*J428,"")</f>
        <v/>
      </c>
      <c r="M428" s="8" t="str">
        <f aca="false">IF(AND(F428&lt;&gt;"",G428&lt;&gt;"",H428&lt;&gt;""),IF(E428="Long",(H428-F428)/(F428-G428),(F428-H428)/(G428-F428)),"")</f>
        <v/>
      </c>
      <c r="N428" s="8" t="str">
        <f aca="false">IF(AND(F428&lt;&gt;"",G428&lt;&gt;"",I428&lt;&gt;""),IF(E428="Long",(I428-F428)/(F428-G428),(F428-I428)/(G428-F428)),"")</f>
        <v/>
      </c>
      <c r="O428" s="4" t="str">
        <f aca="false">IF(L428="","",IF(L428&gt;0,"Win",IF(L428&lt;0,"Loss","Break Even")))</f>
        <v/>
      </c>
      <c r="P428" s="4"/>
      <c r="Q428" s="4"/>
      <c r="R428" s="4"/>
    </row>
    <row r="429" customFormat="false" ht="15" hidden="false" customHeight="false" outlineLevel="0" collapsed="false">
      <c r="A429" s="9" t="str">
        <f aca="false">IF(B429&lt;&gt;"",ROW()-3,"")</f>
        <v/>
      </c>
      <c r="B429" s="10"/>
      <c r="C429" s="9" t="str">
        <f aca="false">IF(B429&lt;&gt;"",TEXT(B429,"DDDD"),"")</f>
        <v/>
      </c>
      <c r="D429" s="9"/>
      <c r="E429" s="9"/>
      <c r="F429" s="9"/>
      <c r="G429" s="9"/>
      <c r="H429" s="9"/>
      <c r="I429" s="9"/>
      <c r="J429" s="9"/>
      <c r="K429" s="11" t="str">
        <f aca="false">IF(AND(B429&lt;&gt;"",I429&lt;&gt;"",F429&lt;&gt;""),IF(E429="Long",(I429-F429)*20,(F429-I429)*20),"")</f>
        <v/>
      </c>
      <c r="L429" s="12" t="str">
        <f aca="false">IF(AND(K429&lt;&gt;"",J429&lt;&gt;""),K429*J429,"")</f>
        <v/>
      </c>
      <c r="M429" s="13" t="str">
        <f aca="false">IF(AND(F429&lt;&gt;"",G429&lt;&gt;"",H429&lt;&gt;""),IF(E429="Long",(H429-F429)/(F429-G429),(F429-H429)/(G429-F429)),"")</f>
        <v/>
      </c>
      <c r="N429" s="13" t="str">
        <f aca="false">IF(AND(F429&lt;&gt;"",G429&lt;&gt;"",I429&lt;&gt;""),IF(E429="Long",(I429-F429)/(F429-G429),(F429-I429)/(G429-F429)),"")</f>
        <v/>
      </c>
      <c r="O429" s="9" t="str">
        <f aca="false">IF(L429="","",IF(L429&gt;0,"Win",IF(L429&lt;0,"Loss","Break Even")))</f>
        <v/>
      </c>
      <c r="P429" s="9"/>
      <c r="Q429" s="9"/>
      <c r="R429" s="9"/>
    </row>
    <row r="430" customFormat="false" ht="15" hidden="false" customHeight="false" outlineLevel="0" collapsed="false">
      <c r="A430" s="4" t="str">
        <f aca="false">IF(B430&lt;&gt;"",ROW()-3,"")</f>
        <v/>
      </c>
      <c r="B430" s="5"/>
      <c r="C430" s="4" t="str">
        <f aca="false">IF(B430&lt;&gt;"",TEXT(B430,"DDDD"),"")</f>
        <v/>
      </c>
      <c r="D430" s="4"/>
      <c r="E430" s="4"/>
      <c r="F430" s="4"/>
      <c r="G430" s="4"/>
      <c r="H430" s="4"/>
      <c r="I430" s="4"/>
      <c r="J430" s="4"/>
      <c r="K430" s="6" t="str">
        <f aca="false">IF(AND(B430&lt;&gt;"",I430&lt;&gt;"",F430&lt;&gt;""),IF(E430="Long",(I430-F430)*20,(F430-I430)*20),"")</f>
        <v/>
      </c>
      <c r="L430" s="7" t="str">
        <f aca="false">IF(AND(K430&lt;&gt;"",J430&lt;&gt;""),K430*J430,"")</f>
        <v/>
      </c>
      <c r="M430" s="8" t="str">
        <f aca="false">IF(AND(F430&lt;&gt;"",G430&lt;&gt;"",H430&lt;&gt;""),IF(E430="Long",(H430-F430)/(F430-G430),(F430-H430)/(G430-F430)),"")</f>
        <v/>
      </c>
      <c r="N430" s="8" t="str">
        <f aca="false">IF(AND(F430&lt;&gt;"",G430&lt;&gt;"",I430&lt;&gt;""),IF(E430="Long",(I430-F430)/(F430-G430),(F430-I430)/(G430-F430)),"")</f>
        <v/>
      </c>
      <c r="O430" s="4" t="str">
        <f aca="false">IF(L430="","",IF(L430&gt;0,"Win",IF(L430&lt;0,"Loss","Break Even")))</f>
        <v/>
      </c>
      <c r="P430" s="4"/>
      <c r="Q430" s="4"/>
      <c r="R430" s="4"/>
    </row>
    <row r="431" customFormat="false" ht="15" hidden="false" customHeight="false" outlineLevel="0" collapsed="false">
      <c r="A431" s="9" t="str">
        <f aca="false">IF(B431&lt;&gt;"",ROW()-3,"")</f>
        <v/>
      </c>
      <c r="B431" s="10"/>
      <c r="C431" s="9" t="str">
        <f aca="false">IF(B431&lt;&gt;"",TEXT(B431,"DDDD"),"")</f>
        <v/>
      </c>
      <c r="D431" s="9"/>
      <c r="E431" s="9"/>
      <c r="F431" s="9"/>
      <c r="G431" s="9"/>
      <c r="H431" s="9"/>
      <c r="I431" s="9"/>
      <c r="J431" s="9"/>
      <c r="K431" s="11" t="str">
        <f aca="false">IF(AND(B431&lt;&gt;"",I431&lt;&gt;"",F431&lt;&gt;""),IF(E431="Long",(I431-F431)*20,(F431-I431)*20),"")</f>
        <v/>
      </c>
      <c r="L431" s="12" t="str">
        <f aca="false">IF(AND(K431&lt;&gt;"",J431&lt;&gt;""),K431*J431,"")</f>
        <v/>
      </c>
      <c r="M431" s="13" t="str">
        <f aca="false">IF(AND(F431&lt;&gt;"",G431&lt;&gt;"",H431&lt;&gt;""),IF(E431="Long",(H431-F431)/(F431-G431),(F431-H431)/(G431-F431)),"")</f>
        <v/>
      </c>
      <c r="N431" s="13" t="str">
        <f aca="false">IF(AND(F431&lt;&gt;"",G431&lt;&gt;"",I431&lt;&gt;""),IF(E431="Long",(I431-F431)/(F431-G431),(F431-I431)/(G431-F431)),"")</f>
        <v/>
      </c>
      <c r="O431" s="9" t="str">
        <f aca="false">IF(L431="","",IF(L431&gt;0,"Win",IF(L431&lt;0,"Loss","Break Even")))</f>
        <v/>
      </c>
      <c r="P431" s="9"/>
      <c r="Q431" s="9"/>
      <c r="R431" s="9"/>
    </row>
    <row r="432" customFormat="false" ht="15" hidden="false" customHeight="false" outlineLevel="0" collapsed="false">
      <c r="A432" s="4" t="str">
        <f aca="false">IF(B432&lt;&gt;"",ROW()-3,"")</f>
        <v/>
      </c>
      <c r="B432" s="5"/>
      <c r="C432" s="4" t="str">
        <f aca="false">IF(B432&lt;&gt;"",TEXT(B432,"DDDD"),"")</f>
        <v/>
      </c>
      <c r="D432" s="4"/>
      <c r="E432" s="4"/>
      <c r="F432" s="4"/>
      <c r="G432" s="4"/>
      <c r="H432" s="4"/>
      <c r="I432" s="4"/>
      <c r="J432" s="4"/>
      <c r="K432" s="6" t="str">
        <f aca="false">IF(AND(B432&lt;&gt;"",I432&lt;&gt;"",F432&lt;&gt;""),IF(E432="Long",(I432-F432)*20,(F432-I432)*20),"")</f>
        <v/>
      </c>
      <c r="L432" s="7" t="str">
        <f aca="false">IF(AND(K432&lt;&gt;"",J432&lt;&gt;""),K432*J432,"")</f>
        <v/>
      </c>
      <c r="M432" s="8" t="str">
        <f aca="false">IF(AND(F432&lt;&gt;"",G432&lt;&gt;"",H432&lt;&gt;""),IF(E432="Long",(H432-F432)/(F432-G432),(F432-H432)/(G432-F432)),"")</f>
        <v/>
      </c>
      <c r="N432" s="8" t="str">
        <f aca="false">IF(AND(F432&lt;&gt;"",G432&lt;&gt;"",I432&lt;&gt;""),IF(E432="Long",(I432-F432)/(F432-G432),(F432-I432)/(G432-F432)),"")</f>
        <v/>
      </c>
      <c r="O432" s="4" t="str">
        <f aca="false">IF(L432="","",IF(L432&gt;0,"Win",IF(L432&lt;0,"Loss","Break Even")))</f>
        <v/>
      </c>
      <c r="P432" s="4"/>
      <c r="Q432" s="4"/>
      <c r="R432" s="4"/>
    </row>
    <row r="433" customFormat="false" ht="15" hidden="false" customHeight="false" outlineLevel="0" collapsed="false">
      <c r="A433" s="9" t="str">
        <f aca="false">IF(B433&lt;&gt;"",ROW()-3,"")</f>
        <v/>
      </c>
      <c r="B433" s="10"/>
      <c r="C433" s="9" t="str">
        <f aca="false">IF(B433&lt;&gt;"",TEXT(B433,"DDDD"),"")</f>
        <v/>
      </c>
      <c r="D433" s="9"/>
      <c r="E433" s="9"/>
      <c r="F433" s="9"/>
      <c r="G433" s="9"/>
      <c r="H433" s="9"/>
      <c r="I433" s="9"/>
      <c r="J433" s="9"/>
      <c r="K433" s="11" t="str">
        <f aca="false">IF(AND(B433&lt;&gt;"",I433&lt;&gt;"",F433&lt;&gt;""),IF(E433="Long",(I433-F433)*20,(F433-I433)*20),"")</f>
        <v/>
      </c>
      <c r="L433" s="12" t="str">
        <f aca="false">IF(AND(K433&lt;&gt;"",J433&lt;&gt;""),K433*J433,"")</f>
        <v/>
      </c>
      <c r="M433" s="13" t="str">
        <f aca="false">IF(AND(F433&lt;&gt;"",G433&lt;&gt;"",H433&lt;&gt;""),IF(E433="Long",(H433-F433)/(F433-G433),(F433-H433)/(G433-F433)),"")</f>
        <v/>
      </c>
      <c r="N433" s="13" t="str">
        <f aca="false">IF(AND(F433&lt;&gt;"",G433&lt;&gt;"",I433&lt;&gt;""),IF(E433="Long",(I433-F433)/(F433-G433),(F433-I433)/(G433-F433)),"")</f>
        <v/>
      </c>
      <c r="O433" s="9" t="str">
        <f aca="false">IF(L433="","",IF(L433&gt;0,"Win",IF(L433&lt;0,"Loss","Break Even")))</f>
        <v/>
      </c>
      <c r="P433" s="9"/>
      <c r="Q433" s="9"/>
      <c r="R433" s="9"/>
    </row>
    <row r="434" customFormat="false" ht="15" hidden="false" customHeight="false" outlineLevel="0" collapsed="false">
      <c r="A434" s="4" t="str">
        <f aca="false">IF(B434&lt;&gt;"",ROW()-3,"")</f>
        <v/>
      </c>
      <c r="B434" s="5"/>
      <c r="C434" s="4" t="str">
        <f aca="false">IF(B434&lt;&gt;"",TEXT(B434,"DDDD"),"")</f>
        <v/>
      </c>
      <c r="D434" s="4"/>
      <c r="E434" s="4"/>
      <c r="F434" s="4"/>
      <c r="G434" s="4"/>
      <c r="H434" s="4"/>
      <c r="I434" s="4"/>
      <c r="J434" s="4"/>
      <c r="K434" s="6" t="str">
        <f aca="false">IF(AND(B434&lt;&gt;"",I434&lt;&gt;"",F434&lt;&gt;""),IF(E434="Long",(I434-F434)*20,(F434-I434)*20),"")</f>
        <v/>
      </c>
      <c r="L434" s="7" t="str">
        <f aca="false">IF(AND(K434&lt;&gt;"",J434&lt;&gt;""),K434*J434,"")</f>
        <v/>
      </c>
      <c r="M434" s="8" t="str">
        <f aca="false">IF(AND(F434&lt;&gt;"",G434&lt;&gt;"",H434&lt;&gt;""),IF(E434="Long",(H434-F434)/(F434-G434),(F434-H434)/(G434-F434)),"")</f>
        <v/>
      </c>
      <c r="N434" s="8" t="str">
        <f aca="false">IF(AND(F434&lt;&gt;"",G434&lt;&gt;"",I434&lt;&gt;""),IF(E434="Long",(I434-F434)/(F434-G434),(F434-I434)/(G434-F434)),"")</f>
        <v/>
      </c>
      <c r="O434" s="4" t="str">
        <f aca="false">IF(L434="","",IF(L434&gt;0,"Win",IF(L434&lt;0,"Loss","Break Even")))</f>
        <v/>
      </c>
      <c r="P434" s="4"/>
      <c r="Q434" s="4"/>
      <c r="R434" s="4"/>
    </row>
    <row r="435" customFormat="false" ht="15" hidden="false" customHeight="false" outlineLevel="0" collapsed="false">
      <c r="A435" s="9" t="str">
        <f aca="false">IF(B435&lt;&gt;"",ROW()-3,"")</f>
        <v/>
      </c>
      <c r="B435" s="10"/>
      <c r="C435" s="9" t="str">
        <f aca="false">IF(B435&lt;&gt;"",TEXT(B435,"DDDD"),"")</f>
        <v/>
      </c>
      <c r="D435" s="9"/>
      <c r="E435" s="9"/>
      <c r="F435" s="9"/>
      <c r="G435" s="9"/>
      <c r="H435" s="9"/>
      <c r="I435" s="9"/>
      <c r="J435" s="9"/>
      <c r="K435" s="11" t="str">
        <f aca="false">IF(AND(B435&lt;&gt;"",I435&lt;&gt;"",F435&lt;&gt;""),IF(E435="Long",(I435-F435)*20,(F435-I435)*20),"")</f>
        <v/>
      </c>
      <c r="L435" s="12" t="str">
        <f aca="false">IF(AND(K435&lt;&gt;"",J435&lt;&gt;""),K435*J435,"")</f>
        <v/>
      </c>
      <c r="M435" s="13" t="str">
        <f aca="false">IF(AND(F435&lt;&gt;"",G435&lt;&gt;"",H435&lt;&gt;""),IF(E435="Long",(H435-F435)/(F435-G435),(F435-H435)/(G435-F435)),"")</f>
        <v/>
      </c>
      <c r="N435" s="13" t="str">
        <f aca="false">IF(AND(F435&lt;&gt;"",G435&lt;&gt;"",I435&lt;&gt;""),IF(E435="Long",(I435-F435)/(F435-G435),(F435-I435)/(G435-F435)),"")</f>
        <v/>
      </c>
      <c r="O435" s="9" t="str">
        <f aca="false">IF(L435="","",IF(L435&gt;0,"Win",IF(L435&lt;0,"Loss","Break Even")))</f>
        <v/>
      </c>
      <c r="P435" s="9"/>
      <c r="Q435" s="9"/>
      <c r="R435" s="9"/>
    </row>
    <row r="436" customFormat="false" ht="15" hidden="false" customHeight="false" outlineLevel="0" collapsed="false">
      <c r="A436" s="4" t="str">
        <f aca="false">IF(B436&lt;&gt;"",ROW()-3,"")</f>
        <v/>
      </c>
      <c r="B436" s="5"/>
      <c r="C436" s="4" t="str">
        <f aca="false">IF(B436&lt;&gt;"",TEXT(B436,"DDDD"),"")</f>
        <v/>
      </c>
      <c r="D436" s="4"/>
      <c r="E436" s="4"/>
      <c r="F436" s="4"/>
      <c r="G436" s="4"/>
      <c r="H436" s="4"/>
      <c r="I436" s="4"/>
      <c r="J436" s="4"/>
      <c r="K436" s="6" t="str">
        <f aca="false">IF(AND(B436&lt;&gt;"",I436&lt;&gt;"",F436&lt;&gt;""),IF(E436="Long",(I436-F436)*20,(F436-I436)*20),"")</f>
        <v/>
      </c>
      <c r="L436" s="7" t="str">
        <f aca="false">IF(AND(K436&lt;&gt;"",J436&lt;&gt;""),K436*J436,"")</f>
        <v/>
      </c>
      <c r="M436" s="8" t="str">
        <f aca="false">IF(AND(F436&lt;&gt;"",G436&lt;&gt;"",H436&lt;&gt;""),IF(E436="Long",(H436-F436)/(F436-G436),(F436-H436)/(G436-F436)),"")</f>
        <v/>
      </c>
      <c r="N436" s="8" t="str">
        <f aca="false">IF(AND(F436&lt;&gt;"",G436&lt;&gt;"",I436&lt;&gt;""),IF(E436="Long",(I436-F436)/(F436-G436),(F436-I436)/(G436-F436)),"")</f>
        <v/>
      </c>
      <c r="O436" s="4" t="str">
        <f aca="false">IF(L436="","",IF(L436&gt;0,"Win",IF(L436&lt;0,"Loss","Break Even")))</f>
        <v/>
      </c>
      <c r="P436" s="4"/>
      <c r="Q436" s="4"/>
      <c r="R436" s="4"/>
    </row>
    <row r="437" customFormat="false" ht="15" hidden="false" customHeight="false" outlineLevel="0" collapsed="false">
      <c r="A437" s="9" t="str">
        <f aca="false">IF(B437&lt;&gt;"",ROW()-3,"")</f>
        <v/>
      </c>
      <c r="B437" s="10"/>
      <c r="C437" s="9" t="str">
        <f aca="false">IF(B437&lt;&gt;"",TEXT(B437,"DDDD"),"")</f>
        <v/>
      </c>
      <c r="D437" s="9"/>
      <c r="E437" s="9"/>
      <c r="F437" s="9"/>
      <c r="G437" s="9"/>
      <c r="H437" s="9"/>
      <c r="I437" s="9"/>
      <c r="J437" s="9"/>
      <c r="K437" s="11" t="str">
        <f aca="false">IF(AND(B437&lt;&gt;"",I437&lt;&gt;"",F437&lt;&gt;""),IF(E437="Long",(I437-F437)*20,(F437-I437)*20),"")</f>
        <v/>
      </c>
      <c r="L437" s="12" t="str">
        <f aca="false">IF(AND(K437&lt;&gt;"",J437&lt;&gt;""),K437*J437,"")</f>
        <v/>
      </c>
      <c r="M437" s="13" t="str">
        <f aca="false">IF(AND(F437&lt;&gt;"",G437&lt;&gt;"",H437&lt;&gt;""),IF(E437="Long",(H437-F437)/(F437-G437),(F437-H437)/(G437-F437)),"")</f>
        <v/>
      </c>
      <c r="N437" s="13" t="str">
        <f aca="false">IF(AND(F437&lt;&gt;"",G437&lt;&gt;"",I437&lt;&gt;""),IF(E437="Long",(I437-F437)/(F437-G437),(F437-I437)/(G437-F437)),"")</f>
        <v/>
      </c>
      <c r="O437" s="9" t="str">
        <f aca="false">IF(L437="","",IF(L437&gt;0,"Win",IF(L437&lt;0,"Loss","Break Even")))</f>
        <v/>
      </c>
      <c r="P437" s="9"/>
      <c r="Q437" s="9"/>
      <c r="R437" s="9"/>
    </row>
    <row r="438" customFormat="false" ht="15" hidden="false" customHeight="false" outlineLevel="0" collapsed="false">
      <c r="A438" s="4" t="str">
        <f aca="false">IF(B438&lt;&gt;"",ROW()-3,"")</f>
        <v/>
      </c>
      <c r="B438" s="5"/>
      <c r="C438" s="4" t="str">
        <f aca="false">IF(B438&lt;&gt;"",TEXT(B438,"DDDD"),"")</f>
        <v/>
      </c>
      <c r="D438" s="4"/>
      <c r="E438" s="4"/>
      <c r="F438" s="4"/>
      <c r="G438" s="4"/>
      <c r="H438" s="4"/>
      <c r="I438" s="4"/>
      <c r="J438" s="4"/>
      <c r="K438" s="6" t="str">
        <f aca="false">IF(AND(B438&lt;&gt;"",I438&lt;&gt;"",F438&lt;&gt;""),IF(E438="Long",(I438-F438)*20,(F438-I438)*20),"")</f>
        <v/>
      </c>
      <c r="L438" s="7" t="str">
        <f aca="false">IF(AND(K438&lt;&gt;"",J438&lt;&gt;""),K438*J438,"")</f>
        <v/>
      </c>
      <c r="M438" s="8" t="str">
        <f aca="false">IF(AND(F438&lt;&gt;"",G438&lt;&gt;"",H438&lt;&gt;""),IF(E438="Long",(H438-F438)/(F438-G438),(F438-H438)/(G438-F438)),"")</f>
        <v/>
      </c>
      <c r="N438" s="8" t="str">
        <f aca="false">IF(AND(F438&lt;&gt;"",G438&lt;&gt;"",I438&lt;&gt;""),IF(E438="Long",(I438-F438)/(F438-G438),(F438-I438)/(G438-F438)),"")</f>
        <v/>
      </c>
      <c r="O438" s="4" t="str">
        <f aca="false">IF(L438="","",IF(L438&gt;0,"Win",IF(L438&lt;0,"Loss","Break Even")))</f>
        <v/>
      </c>
      <c r="P438" s="4"/>
      <c r="Q438" s="4"/>
      <c r="R438" s="4"/>
    </row>
    <row r="439" customFormat="false" ht="15" hidden="false" customHeight="false" outlineLevel="0" collapsed="false">
      <c r="A439" s="9" t="str">
        <f aca="false">IF(B439&lt;&gt;"",ROW()-3,"")</f>
        <v/>
      </c>
      <c r="B439" s="10"/>
      <c r="C439" s="9" t="str">
        <f aca="false">IF(B439&lt;&gt;"",TEXT(B439,"DDDD"),"")</f>
        <v/>
      </c>
      <c r="D439" s="9"/>
      <c r="E439" s="9"/>
      <c r="F439" s="9"/>
      <c r="G439" s="9"/>
      <c r="H439" s="9"/>
      <c r="I439" s="9"/>
      <c r="J439" s="9"/>
      <c r="K439" s="11" t="str">
        <f aca="false">IF(AND(B439&lt;&gt;"",I439&lt;&gt;"",F439&lt;&gt;""),IF(E439="Long",(I439-F439)*20,(F439-I439)*20),"")</f>
        <v/>
      </c>
      <c r="L439" s="12" t="str">
        <f aca="false">IF(AND(K439&lt;&gt;"",J439&lt;&gt;""),K439*J439,"")</f>
        <v/>
      </c>
      <c r="M439" s="13" t="str">
        <f aca="false">IF(AND(F439&lt;&gt;"",G439&lt;&gt;"",H439&lt;&gt;""),IF(E439="Long",(H439-F439)/(F439-G439),(F439-H439)/(G439-F439)),"")</f>
        <v/>
      </c>
      <c r="N439" s="13" t="str">
        <f aca="false">IF(AND(F439&lt;&gt;"",G439&lt;&gt;"",I439&lt;&gt;""),IF(E439="Long",(I439-F439)/(F439-G439),(F439-I439)/(G439-F439)),"")</f>
        <v/>
      </c>
      <c r="O439" s="9" t="str">
        <f aca="false">IF(L439="","",IF(L439&gt;0,"Win",IF(L439&lt;0,"Loss","Break Even")))</f>
        <v/>
      </c>
      <c r="P439" s="9"/>
      <c r="Q439" s="9"/>
      <c r="R439" s="9"/>
    </row>
    <row r="440" customFormat="false" ht="15" hidden="false" customHeight="false" outlineLevel="0" collapsed="false">
      <c r="A440" s="4" t="str">
        <f aca="false">IF(B440&lt;&gt;"",ROW()-3,"")</f>
        <v/>
      </c>
      <c r="B440" s="5"/>
      <c r="C440" s="4" t="str">
        <f aca="false">IF(B440&lt;&gt;"",TEXT(B440,"DDDD"),"")</f>
        <v/>
      </c>
      <c r="D440" s="4"/>
      <c r="E440" s="4"/>
      <c r="F440" s="4"/>
      <c r="G440" s="4"/>
      <c r="H440" s="4"/>
      <c r="I440" s="4"/>
      <c r="J440" s="4"/>
      <c r="K440" s="6" t="str">
        <f aca="false">IF(AND(B440&lt;&gt;"",I440&lt;&gt;"",F440&lt;&gt;""),IF(E440="Long",(I440-F440)*20,(F440-I440)*20),"")</f>
        <v/>
      </c>
      <c r="L440" s="7" t="str">
        <f aca="false">IF(AND(K440&lt;&gt;"",J440&lt;&gt;""),K440*J440,"")</f>
        <v/>
      </c>
      <c r="M440" s="8" t="str">
        <f aca="false">IF(AND(F440&lt;&gt;"",G440&lt;&gt;"",H440&lt;&gt;""),IF(E440="Long",(H440-F440)/(F440-G440),(F440-H440)/(G440-F440)),"")</f>
        <v/>
      </c>
      <c r="N440" s="8" t="str">
        <f aca="false">IF(AND(F440&lt;&gt;"",G440&lt;&gt;"",I440&lt;&gt;""),IF(E440="Long",(I440-F440)/(F440-G440),(F440-I440)/(G440-F440)),"")</f>
        <v/>
      </c>
      <c r="O440" s="4" t="str">
        <f aca="false">IF(L440="","",IF(L440&gt;0,"Win",IF(L440&lt;0,"Loss","Break Even")))</f>
        <v/>
      </c>
      <c r="P440" s="4"/>
      <c r="Q440" s="4"/>
      <c r="R440" s="4"/>
    </row>
    <row r="441" customFormat="false" ht="15" hidden="false" customHeight="false" outlineLevel="0" collapsed="false">
      <c r="A441" s="9" t="str">
        <f aca="false">IF(B441&lt;&gt;"",ROW()-3,"")</f>
        <v/>
      </c>
      <c r="B441" s="10"/>
      <c r="C441" s="9" t="str">
        <f aca="false">IF(B441&lt;&gt;"",TEXT(B441,"DDDD"),"")</f>
        <v/>
      </c>
      <c r="D441" s="9"/>
      <c r="E441" s="9"/>
      <c r="F441" s="9"/>
      <c r="G441" s="9"/>
      <c r="H441" s="9"/>
      <c r="I441" s="9"/>
      <c r="J441" s="9"/>
      <c r="K441" s="11" t="str">
        <f aca="false">IF(AND(B441&lt;&gt;"",I441&lt;&gt;"",F441&lt;&gt;""),IF(E441="Long",(I441-F441)*20,(F441-I441)*20),"")</f>
        <v/>
      </c>
      <c r="L441" s="12" t="str">
        <f aca="false">IF(AND(K441&lt;&gt;"",J441&lt;&gt;""),K441*J441,"")</f>
        <v/>
      </c>
      <c r="M441" s="13" t="str">
        <f aca="false">IF(AND(F441&lt;&gt;"",G441&lt;&gt;"",H441&lt;&gt;""),IF(E441="Long",(H441-F441)/(F441-G441),(F441-H441)/(G441-F441)),"")</f>
        <v/>
      </c>
      <c r="N441" s="13" t="str">
        <f aca="false">IF(AND(F441&lt;&gt;"",G441&lt;&gt;"",I441&lt;&gt;""),IF(E441="Long",(I441-F441)/(F441-G441),(F441-I441)/(G441-F441)),"")</f>
        <v/>
      </c>
      <c r="O441" s="9" t="str">
        <f aca="false">IF(L441="","",IF(L441&gt;0,"Win",IF(L441&lt;0,"Loss","Break Even")))</f>
        <v/>
      </c>
      <c r="P441" s="9"/>
      <c r="Q441" s="9"/>
      <c r="R441" s="9"/>
    </row>
    <row r="442" customFormat="false" ht="15" hidden="false" customHeight="false" outlineLevel="0" collapsed="false">
      <c r="A442" s="4" t="str">
        <f aca="false">IF(B442&lt;&gt;"",ROW()-3,"")</f>
        <v/>
      </c>
      <c r="B442" s="5"/>
      <c r="C442" s="4" t="str">
        <f aca="false">IF(B442&lt;&gt;"",TEXT(B442,"DDDD"),"")</f>
        <v/>
      </c>
      <c r="D442" s="4"/>
      <c r="E442" s="4"/>
      <c r="F442" s="4"/>
      <c r="G442" s="4"/>
      <c r="H442" s="4"/>
      <c r="I442" s="4"/>
      <c r="J442" s="4"/>
      <c r="K442" s="6" t="str">
        <f aca="false">IF(AND(B442&lt;&gt;"",I442&lt;&gt;"",F442&lt;&gt;""),IF(E442="Long",(I442-F442)*20,(F442-I442)*20),"")</f>
        <v/>
      </c>
      <c r="L442" s="7" t="str">
        <f aca="false">IF(AND(K442&lt;&gt;"",J442&lt;&gt;""),K442*J442,"")</f>
        <v/>
      </c>
      <c r="M442" s="8" t="str">
        <f aca="false">IF(AND(F442&lt;&gt;"",G442&lt;&gt;"",H442&lt;&gt;""),IF(E442="Long",(H442-F442)/(F442-G442),(F442-H442)/(G442-F442)),"")</f>
        <v/>
      </c>
      <c r="N442" s="8" t="str">
        <f aca="false">IF(AND(F442&lt;&gt;"",G442&lt;&gt;"",I442&lt;&gt;""),IF(E442="Long",(I442-F442)/(F442-G442),(F442-I442)/(G442-F442)),"")</f>
        <v/>
      </c>
      <c r="O442" s="4" t="str">
        <f aca="false">IF(L442="","",IF(L442&gt;0,"Win",IF(L442&lt;0,"Loss","Break Even")))</f>
        <v/>
      </c>
      <c r="P442" s="4"/>
      <c r="Q442" s="4"/>
      <c r="R442" s="4"/>
    </row>
    <row r="443" customFormat="false" ht="15" hidden="false" customHeight="false" outlineLevel="0" collapsed="false">
      <c r="A443" s="9" t="str">
        <f aca="false">IF(B443&lt;&gt;"",ROW()-3,"")</f>
        <v/>
      </c>
      <c r="B443" s="10"/>
      <c r="C443" s="9" t="str">
        <f aca="false">IF(B443&lt;&gt;"",TEXT(B443,"DDDD"),"")</f>
        <v/>
      </c>
      <c r="D443" s="9"/>
      <c r="E443" s="9"/>
      <c r="F443" s="9"/>
      <c r="G443" s="9"/>
      <c r="H443" s="9"/>
      <c r="I443" s="9"/>
      <c r="J443" s="9"/>
      <c r="K443" s="11" t="str">
        <f aca="false">IF(AND(B443&lt;&gt;"",I443&lt;&gt;"",F443&lt;&gt;""),IF(E443="Long",(I443-F443)*20,(F443-I443)*20),"")</f>
        <v/>
      </c>
      <c r="L443" s="12" t="str">
        <f aca="false">IF(AND(K443&lt;&gt;"",J443&lt;&gt;""),K443*J443,"")</f>
        <v/>
      </c>
      <c r="M443" s="13" t="str">
        <f aca="false">IF(AND(F443&lt;&gt;"",G443&lt;&gt;"",H443&lt;&gt;""),IF(E443="Long",(H443-F443)/(F443-G443),(F443-H443)/(G443-F443)),"")</f>
        <v/>
      </c>
      <c r="N443" s="13" t="str">
        <f aca="false">IF(AND(F443&lt;&gt;"",G443&lt;&gt;"",I443&lt;&gt;""),IF(E443="Long",(I443-F443)/(F443-G443),(F443-I443)/(G443-F443)),"")</f>
        <v/>
      </c>
      <c r="O443" s="9" t="str">
        <f aca="false">IF(L443="","",IF(L443&gt;0,"Win",IF(L443&lt;0,"Loss","Break Even")))</f>
        <v/>
      </c>
      <c r="P443" s="9"/>
      <c r="Q443" s="9"/>
      <c r="R443" s="9"/>
    </row>
    <row r="444" customFormat="false" ht="15" hidden="false" customHeight="false" outlineLevel="0" collapsed="false">
      <c r="A444" s="4" t="str">
        <f aca="false">IF(B444&lt;&gt;"",ROW()-3,"")</f>
        <v/>
      </c>
      <c r="B444" s="5"/>
      <c r="C444" s="4" t="str">
        <f aca="false">IF(B444&lt;&gt;"",TEXT(B444,"DDDD"),"")</f>
        <v/>
      </c>
      <c r="D444" s="4"/>
      <c r="E444" s="4"/>
      <c r="F444" s="4"/>
      <c r="G444" s="4"/>
      <c r="H444" s="4"/>
      <c r="I444" s="4"/>
      <c r="J444" s="4"/>
      <c r="K444" s="6" t="str">
        <f aca="false">IF(AND(B444&lt;&gt;"",I444&lt;&gt;"",F444&lt;&gt;""),IF(E444="Long",(I444-F444)*20,(F444-I444)*20),"")</f>
        <v/>
      </c>
      <c r="L444" s="7" t="str">
        <f aca="false">IF(AND(K444&lt;&gt;"",J444&lt;&gt;""),K444*J444,"")</f>
        <v/>
      </c>
      <c r="M444" s="8" t="str">
        <f aca="false">IF(AND(F444&lt;&gt;"",G444&lt;&gt;"",H444&lt;&gt;""),IF(E444="Long",(H444-F444)/(F444-G444),(F444-H444)/(G444-F444)),"")</f>
        <v/>
      </c>
      <c r="N444" s="8" t="str">
        <f aca="false">IF(AND(F444&lt;&gt;"",G444&lt;&gt;"",I444&lt;&gt;""),IF(E444="Long",(I444-F444)/(F444-G444),(F444-I444)/(G444-F444)),"")</f>
        <v/>
      </c>
      <c r="O444" s="4" t="str">
        <f aca="false">IF(L444="","",IF(L444&gt;0,"Win",IF(L444&lt;0,"Loss","Break Even")))</f>
        <v/>
      </c>
      <c r="P444" s="4"/>
      <c r="Q444" s="4"/>
      <c r="R444" s="4"/>
    </row>
    <row r="445" customFormat="false" ht="15" hidden="false" customHeight="false" outlineLevel="0" collapsed="false">
      <c r="A445" s="9" t="str">
        <f aca="false">IF(B445&lt;&gt;"",ROW()-3,"")</f>
        <v/>
      </c>
      <c r="B445" s="10"/>
      <c r="C445" s="9" t="str">
        <f aca="false">IF(B445&lt;&gt;"",TEXT(B445,"DDDD"),"")</f>
        <v/>
      </c>
      <c r="D445" s="9"/>
      <c r="E445" s="9"/>
      <c r="F445" s="9"/>
      <c r="G445" s="9"/>
      <c r="H445" s="9"/>
      <c r="I445" s="9"/>
      <c r="J445" s="9"/>
      <c r="K445" s="11" t="str">
        <f aca="false">IF(AND(B445&lt;&gt;"",I445&lt;&gt;"",F445&lt;&gt;""),IF(E445="Long",(I445-F445)*20,(F445-I445)*20),"")</f>
        <v/>
      </c>
      <c r="L445" s="12" t="str">
        <f aca="false">IF(AND(K445&lt;&gt;"",J445&lt;&gt;""),K445*J445,"")</f>
        <v/>
      </c>
      <c r="M445" s="13" t="str">
        <f aca="false">IF(AND(F445&lt;&gt;"",G445&lt;&gt;"",H445&lt;&gt;""),IF(E445="Long",(H445-F445)/(F445-G445),(F445-H445)/(G445-F445)),"")</f>
        <v/>
      </c>
      <c r="N445" s="13" t="str">
        <f aca="false">IF(AND(F445&lt;&gt;"",G445&lt;&gt;"",I445&lt;&gt;""),IF(E445="Long",(I445-F445)/(F445-G445),(F445-I445)/(G445-F445)),"")</f>
        <v/>
      </c>
      <c r="O445" s="9" t="str">
        <f aca="false">IF(L445="","",IF(L445&gt;0,"Win",IF(L445&lt;0,"Loss","Break Even")))</f>
        <v/>
      </c>
      <c r="P445" s="9"/>
      <c r="Q445" s="9"/>
      <c r="R445" s="9"/>
    </row>
    <row r="446" customFormat="false" ht="15" hidden="false" customHeight="false" outlineLevel="0" collapsed="false">
      <c r="A446" s="4" t="str">
        <f aca="false">IF(B446&lt;&gt;"",ROW()-3,"")</f>
        <v/>
      </c>
      <c r="B446" s="5"/>
      <c r="C446" s="4" t="str">
        <f aca="false">IF(B446&lt;&gt;"",TEXT(B446,"DDDD"),"")</f>
        <v/>
      </c>
      <c r="D446" s="4"/>
      <c r="E446" s="4"/>
      <c r="F446" s="4"/>
      <c r="G446" s="4"/>
      <c r="H446" s="4"/>
      <c r="I446" s="4"/>
      <c r="J446" s="4"/>
      <c r="K446" s="6" t="str">
        <f aca="false">IF(AND(B446&lt;&gt;"",I446&lt;&gt;"",F446&lt;&gt;""),IF(E446="Long",(I446-F446)*20,(F446-I446)*20),"")</f>
        <v/>
      </c>
      <c r="L446" s="7" t="str">
        <f aca="false">IF(AND(K446&lt;&gt;"",J446&lt;&gt;""),K446*J446,"")</f>
        <v/>
      </c>
      <c r="M446" s="8" t="str">
        <f aca="false">IF(AND(F446&lt;&gt;"",G446&lt;&gt;"",H446&lt;&gt;""),IF(E446="Long",(H446-F446)/(F446-G446),(F446-H446)/(G446-F446)),"")</f>
        <v/>
      </c>
      <c r="N446" s="8" t="str">
        <f aca="false">IF(AND(F446&lt;&gt;"",G446&lt;&gt;"",I446&lt;&gt;""),IF(E446="Long",(I446-F446)/(F446-G446),(F446-I446)/(G446-F446)),"")</f>
        <v/>
      </c>
      <c r="O446" s="4" t="str">
        <f aca="false">IF(L446="","",IF(L446&gt;0,"Win",IF(L446&lt;0,"Loss","Break Even")))</f>
        <v/>
      </c>
      <c r="P446" s="4"/>
      <c r="Q446" s="4"/>
      <c r="R446" s="4"/>
    </row>
    <row r="447" customFormat="false" ht="15" hidden="false" customHeight="false" outlineLevel="0" collapsed="false">
      <c r="A447" s="9" t="str">
        <f aca="false">IF(B447&lt;&gt;"",ROW()-3,"")</f>
        <v/>
      </c>
      <c r="B447" s="10"/>
      <c r="C447" s="9" t="str">
        <f aca="false">IF(B447&lt;&gt;"",TEXT(B447,"DDDD"),"")</f>
        <v/>
      </c>
      <c r="D447" s="9"/>
      <c r="E447" s="9"/>
      <c r="F447" s="9"/>
      <c r="G447" s="9"/>
      <c r="H447" s="9"/>
      <c r="I447" s="9"/>
      <c r="J447" s="9"/>
      <c r="K447" s="11" t="str">
        <f aca="false">IF(AND(B447&lt;&gt;"",I447&lt;&gt;"",F447&lt;&gt;""),IF(E447="Long",(I447-F447)*20,(F447-I447)*20),"")</f>
        <v/>
      </c>
      <c r="L447" s="12" t="str">
        <f aca="false">IF(AND(K447&lt;&gt;"",J447&lt;&gt;""),K447*J447,"")</f>
        <v/>
      </c>
      <c r="M447" s="13" t="str">
        <f aca="false">IF(AND(F447&lt;&gt;"",G447&lt;&gt;"",H447&lt;&gt;""),IF(E447="Long",(H447-F447)/(F447-G447),(F447-H447)/(G447-F447)),"")</f>
        <v/>
      </c>
      <c r="N447" s="13" t="str">
        <f aca="false">IF(AND(F447&lt;&gt;"",G447&lt;&gt;"",I447&lt;&gt;""),IF(E447="Long",(I447-F447)/(F447-G447),(F447-I447)/(G447-F447)),"")</f>
        <v/>
      </c>
      <c r="O447" s="9" t="str">
        <f aca="false">IF(L447="","",IF(L447&gt;0,"Win",IF(L447&lt;0,"Loss","Break Even")))</f>
        <v/>
      </c>
      <c r="P447" s="9"/>
      <c r="Q447" s="9"/>
      <c r="R447" s="9"/>
    </row>
    <row r="448" customFormat="false" ht="15" hidden="false" customHeight="false" outlineLevel="0" collapsed="false">
      <c r="A448" s="4" t="str">
        <f aca="false">IF(B448&lt;&gt;"",ROW()-3,"")</f>
        <v/>
      </c>
      <c r="B448" s="5"/>
      <c r="C448" s="4" t="str">
        <f aca="false">IF(B448&lt;&gt;"",TEXT(B448,"DDDD"),"")</f>
        <v/>
      </c>
      <c r="D448" s="4"/>
      <c r="E448" s="4"/>
      <c r="F448" s="4"/>
      <c r="G448" s="4"/>
      <c r="H448" s="4"/>
      <c r="I448" s="4"/>
      <c r="J448" s="4"/>
      <c r="K448" s="6" t="str">
        <f aca="false">IF(AND(B448&lt;&gt;"",I448&lt;&gt;"",F448&lt;&gt;""),IF(E448="Long",(I448-F448)*20,(F448-I448)*20),"")</f>
        <v/>
      </c>
      <c r="L448" s="7" t="str">
        <f aca="false">IF(AND(K448&lt;&gt;"",J448&lt;&gt;""),K448*J448,"")</f>
        <v/>
      </c>
      <c r="M448" s="8" t="str">
        <f aca="false">IF(AND(F448&lt;&gt;"",G448&lt;&gt;"",H448&lt;&gt;""),IF(E448="Long",(H448-F448)/(F448-G448),(F448-H448)/(G448-F448)),"")</f>
        <v/>
      </c>
      <c r="N448" s="8" t="str">
        <f aca="false">IF(AND(F448&lt;&gt;"",G448&lt;&gt;"",I448&lt;&gt;""),IF(E448="Long",(I448-F448)/(F448-G448),(F448-I448)/(G448-F448)),"")</f>
        <v/>
      </c>
      <c r="O448" s="4" t="str">
        <f aca="false">IF(L448="","",IF(L448&gt;0,"Win",IF(L448&lt;0,"Loss","Break Even")))</f>
        <v/>
      </c>
      <c r="P448" s="4"/>
      <c r="Q448" s="4"/>
      <c r="R448" s="4"/>
    </row>
    <row r="449" customFormat="false" ht="15" hidden="false" customHeight="false" outlineLevel="0" collapsed="false">
      <c r="A449" s="9" t="str">
        <f aca="false">IF(B449&lt;&gt;"",ROW()-3,"")</f>
        <v/>
      </c>
      <c r="B449" s="10"/>
      <c r="C449" s="9" t="str">
        <f aca="false">IF(B449&lt;&gt;"",TEXT(B449,"DDDD"),"")</f>
        <v/>
      </c>
      <c r="D449" s="9"/>
      <c r="E449" s="9"/>
      <c r="F449" s="9"/>
      <c r="G449" s="9"/>
      <c r="H449" s="9"/>
      <c r="I449" s="9"/>
      <c r="J449" s="9"/>
      <c r="K449" s="11" t="str">
        <f aca="false">IF(AND(B449&lt;&gt;"",I449&lt;&gt;"",F449&lt;&gt;""),IF(E449="Long",(I449-F449)*20,(F449-I449)*20),"")</f>
        <v/>
      </c>
      <c r="L449" s="12" t="str">
        <f aca="false">IF(AND(K449&lt;&gt;"",J449&lt;&gt;""),K449*J449,"")</f>
        <v/>
      </c>
      <c r="M449" s="13" t="str">
        <f aca="false">IF(AND(F449&lt;&gt;"",G449&lt;&gt;"",H449&lt;&gt;""),IF(E449="Long",(H449-F449)/(F449-G449),(F449-H449)/(G449-F449)),"")</f>
        <v/>
      </c>
      <c r="N449" s="13" t="str">
        <f aca="false">IF(AND(F449&lt;&gt;"",G449&lt;&gt;"",I449&lt;&gt;""),IF(E449="Long",(I449-F449)/(F449-G449),(F449-I449)/(G449-F449)),"")</f>
        <v/>
      </c>
      <c r="O449" s="9" t="str">
        <f aca="false">IF(L449="","",IF(L449&gt;0,"Win",IF(L449&lt;0,"Loss","Break Even")))</f>
        <v/>
      </c>
      <c r="P449" s="9"/>
      <c r="Q449" s="9"/>
      <c r="R449" s="9"/>
    </row>
    <row r="450" customFormat="false" ht="15" hidden="false" customHeight="false" outlineLevel="0" collapsed="false">
      <c r="A450" s="4" t="str">
        <f aca="false">IF(B450&lt;&gt;"",ROW()-3,"")</f>
        <v/>
      </c>
      <c r="B450" s="5"/>
      <c r="C450" s="4" t="str">
        <f aca="false">IF(B450&lt;&gt;"",TEXT(B450,"DDDD"),"")</f>
        <v/>
      </c>
      <c r="D450" s="4"/>
      <c r="E450" s="4"/>
      <c r="F450" s="4"/>
      <c r="G450" s="4"/>
      <c r="H450" s="4"/>
      <c r="I450" s="4"/>
      <c r="J450" s="4"/>
      <c r="K450" s="6" t="str">
        <f aca="false">IF(AND(B450&lt;&gt;"",I450&lt;&gt;"",F450&lt;&gt;""),IF(E450="Long",(I450-F450)*20,(F450-I450)*20),"")</f>
        <v/>
      </c>
      <c r="L450" s="7" t="str">
        <f aca="false">IF(AND(K450&lt;&gt;"",J450&lt;&gt;""),K450*J450,"")</f>
        <v/>
      </c>
      <c r="M450" s="8" t="str">
        <f aca="false">IF(AND(F450&lt;&gt;"",G450&lt;&gt;"",H450&lt;&gt;""),IF(E450="Long",(H450-F450)/(F450-G450),(F450-H450)/(G450-F450)),"")</f>
        <v/>
      </c>
      <c r="N450" s="8" t="str">
        <f aca="false">IF(AND(F450&lt;&gt;"",G450&lt;&gt;"",I450&lt;&gt;""),IF(E450="Long",(I450-F450)/(F450-G450),(F450-I450)/(G450-F450)),"")</f>
        <v/>
      </c>
      <c r="O450" s="4" t="str">
        <f aca="false">IF(L450="","",IF(L450&gt;0,"Win",IF(L450&lt;0,"Loss","Break Even")))</f>
        <v/>
      </c>
      <c r="P450" s="4"/>
      <c r="Q450" s="4"/>
      <c r="R450" s="4"/>
    </row>
    <row r="451" customFormat="false" ht="15" hidden="false" customHeight="false" outlineLevel="0" collapsed="false">
      <c r="A451" s="9" t="str">
        <f aca="false">IF(B451&lt;&gt;"",ROW()-3,"")</f>
        <v/>
      </c>
      <c r="B451" s="10"/>
      <c r="C451" s="9" t="str">
        <f aca="false">IF(B451&lt;&gt;"",TEXT(B451,"DDDD"),"")</f>
        <v/>
      </c>
      <c r="D451" s="9"/>
      <c r="E451" s="9"/>
      <c r="F451" s="9"/>
      <c r="G451" s="9"/>
      <c r="H451" s="9"/>
      <c r="I451" s="9"/>
      <c r="J451" s="9"/>
      <c r="K451" s="11" t="str">
        <f aca="false">IF(AND(B451&lt;&gt;"",I451&lt;&gt;"",F451&lt;&gt;""),IF(E451="Long",(I451-F451)*20,(F451-I451)*20),"")</f>
        <v/>
      </c>
      <c r="L451" s="12" t="str">
        <f aca="false">IF(AND(K451&lt;&gt;"",J451&lt;&gt;""),K451*J451,"")</f>
        <v/>
      </c>
      <c r="M451" s="13" t="str">
        <f aca="false">IF(AND(F451&lt;&gt;"",G451&lt;&gt;"",H451&lt;&gt;""),IF(E451="Long",(H451-F451)/(F451-G451),(F451-H451)/(G451-F451)),"")</f>
        <v/>
      </c>
      <c r="N451" s="13" t="str">
        <f aca="false">IF(AND(F451&lt;&gt;"",G451&lt;&gt;"",I451&lt;&gt;""),IF(E451="Long",(I451-F451)/(F451-G451),(F451-I451)/(G451-F451)),"")</f>
        <v/>
      </c>
      <c r="O451" s="9" t="str">
        <f aca="false">IF(L451="","",IF(L451&gt;0,"Win",IF(L451&lt;0,"Loss","Break Even")))</f>
        <v/>
      </c>
      <c r="P451" s="9"/>
      <c r="Q451" s="9"/>
      <c r="R451" s="9"/>
    </row>
    <row r="452" customFormat="false" ht="15" hidden="false" customHeight="false" outlineLevel="0" collapsed="false">
      <c r="A452" s="4" t="str">
        <f aca="false">IF(B452&lt;&gt;"",ROW()-3,"")</f>
        <v/>
      </c>
      <c r="B452" s="5"/>
      <c r="C452" s="4" t="str">
        <f aca="false">IF(B452&lt;&gt;"",TEXT(B452,"DDDD"),"")</f>
        <v/>
      </c>
      <c r="D452" s="4"/>
      <c r="E452" s="4"/>
      <c r="F452" s="4"/>
      <c r="G452" s="4"/>
      <c r="H452" s="4"/>
      <c r="I452" s="4"/>
      <c r="J452" s="4"/>
      <c r="K452" s="6" t="str">
        <f aca="false">IF(AND(B452&lt;&gt;"",I452&lt;&gt;"",F452&lt;&gt;""),IF(E452="Long",(I452-F452)*20,(F452-I452)*20),"")</f>
        <v/>
      </c>
      <c r="L452" s="7" t="str">
        <f aca="false">IF(AND(K452&lt;&gt;"",J452&lt;&gt;""),K452*J452,"")</f>
        <v/>
      </c>
      <c r="M452" s="8" t="str">
        <f aca="false">IF(AND(F452&lt;&gt;"",G452&lt;&gt;"",H452&lt;&gt;""),IF(E452="Long",(H452-F452)/(F452-G452),(F452-H452)/(G452-F452)),"")</f>
        <v/>
      </c>
      <c r="N452" s="8" t="str">
        <f aca="false">IF(AND(F452&lt;&gt;"",G452&lt;&gt;"",I452&lt;&gt;""),IF(E452="Long",(I452-F452)/(F452-G452),(F452-I452)/(G452-F452)),"")</f>
        <v/>
      </c>
      <c r="O452" s="4" t="str">
        <f aca="false">IF(L452="","",IF(L452&gt;0,"Win",IF(L452&lt;0,"Loss","Break Even")))</f>
        <v/>
      </c>
      <c r="P452" s="4"/>
      <c r="Q452" s="4"/>
      <c r="R452" s="4"/>
    </row>
    <row r="453" customFormat="false" ht="15" hidden="false" customHeight="false" outlineLevel="0" collapsed="false">
      <c r="A453" s="9" t="str">
        <f aca="false">IF(B453&lt;&gt;"",ROW()-3,"")</f>
        <v/>
      </c>
      <c r="B453" s="10"/>
      <c r="C453" s="9" t="str">
        <f aca="false">IF(B453&lt;&gt;"",TEXT(B453,"DDDD"),"")</f>
        <v/>
      </c>
      <c r="D453" s="9"/>
      <c r="E453" s="9"/>
      <c r="F453" s="9"/>
      <c r="G453" s="9"/>
      <c r="H453" s="9"/>
      <c r="I453" s="9"/>
      <c r="J453" s="9"/>
      <c r="K453" s="11" t="str">
        <f aca="false">IF(AND(B453&lt;&gt;"",I453&lt;&gt;"",F453&lt;&gt;""),IF(E453="Long",(I453-F453)*20,(F453-I453)*20),"")</f>
        <v/>
      </c>
      <c r="L453" s="12" t="str">
        <f aca="false">IF(AND(K453&lt;&gt;"",J453&lt;&gt;""),K453*J453,"")</f>
        <v/>
      </c>
      <c r="M453" s="13" t="str">
        <f aca="false">IF(AND(F453&lt;&gt;"",G453&lt;&gt;"",H453&lt;&gt;""),IF(E453="Long",(H453-F453)/(F453-G453),(F453-H453)/(G453-F453)),"")</f>
        <v/>
      </c>
      <c r="N453" s="13" t="str">
        <f aca="false">IF(AND(F453&lt;&gt;"",G453&lt;&gt;"",I453&lt;&gt;""),IF(E453="Long",(I453-F453)/(F453-G453),(F453-I453)/(G453-F453)),"")</f>
        <v/>
      </c>
      <c r="O453" s="9" t="str">
        <f aca="false">IF(L453="","",IF(L453&gt;0,"Win",IF(L453&lt;0,"Loss","Break Even")))</f>
        <v/>
      </c>
      <c r="P453" s="9"/>
      <c r="Q453" s="9"/>
      <c r="R453" s="9"/>
    </row>
    <row r="454" customFormat="false" ht="15" hidden="false" customHeight="false" outlineLevel="0" collapsed="false">
      <c r="A454" s="4" t="str">
        <f aca="false">IF(B454&lt;&gt;"",ROW()-3,"")</f>
        <v/>
      </c>
      <c r="B454" s="5"/>
      <c r="C454" s="4" t="str">
        <f aca="false">IF(B454&lt;&gt;"",TEXT(B454,"DDDD"),"")</f>
        <v/>
      </c>
      <c r="D454" s="4"/>
      <c r="E454" s="4"/>
      <c r="F454" s="4"/>
      <c r="G454" s="4"/>
      <c r="H454" s="4"/>
      <c r="I454" s="4"/>
      <c r="J454" s="4"/>
      <c r="K454" s="6" t="str">
        <f aca="false">IF(AND(B454&lt;&gt;"",I454&lt;&gt;"",F454&lt;&gt;""),IF(E454="Long",(I454-F454)*20,(F454-I454)*20),"")</f>
        <v/>
      </c>
      <c r="L454" s="7" t="str">
        <f aca="false">IF(AND(K454&lt;&gt;"",J454&lt;&gt;""),K454*J454,"")</f>
        <v/>
      </c>
      <c r="M454" s="8" t="str">
        <f aca="false">IF(AND(F454&lt;&gt;"",G454&lt;&gt;"",H454&lt;&gt;""),IF(E454="Long",(H454-F454)/(F454-G454),(F454-H454)/(G454-F454)),"")</f>
        <v/>
      </c>
      <c r="N454" s="8" t="str">
        <f aca="false">IF(AND(F454&lt;&gt;"",G454&lt;&gt;"",I454&lt;&gt;""),IF(E454="Long",(I454-F454)/(F454-G454),(F454-I454)/(G454-F454)),"")</f>
        <v/>
      </c>
      <c r="O454" s="4" t="str">
        <f aca="false">IF(L454="","",IF(L454&gt;0,"Win",IF(L454&lt;0,"Loss","Break Even")))</f>
        <v/>
      </c>
      <c r="P454" s="4"/>
      <c r="Q454" s="4"/>
      <c r="R454" s="4"/>
    </row>
    <row r="455" customFormat="false" ht="15" hidden="false" customHeight="false" outlineLevel="0" collapsed="false">
      <c r="A455" s="9" t="str">
        <f aca="false">IF(B455&lt;&gt;"",ROW()-3,"")</f>
        <v/>
      </c>
      <c r="B455" s="10"/>
      <c r="C455" s="9" t="str">
        <f aca="false">IF(B455&lt;&gt;"",TEXT(B455,"DDDD"),"")</f>
        <v/>
      </c>
      <c r="D455" s="9"/>
      <c r="E455" s="9"/>
      <c r="F455" s="9"/>
      <c r="G455" s="9"/>
      <c r="H455" s="9"/>
      <c r="I455" s="9"/>
      <c r="J455" s="9"/>
      <c r="K455" s="11" t="str">
        <f aca="false">IF(AND(B455&lt;&gt;"",I455&lt;&gt;"",F455&lt;&gt;""),IF(E455="Long",(I455-F455)*20,(F455-I455)*20),"")</f>
        <v/>
      </c>
      <c r="L455" s="12" t="str">
        <f aca="false">IF(AND(K455&lt;&gt;"",J455&lt;&gt;""),K455*J455,"")</f>
        <v/>
      </c>
      <c r="M455" s="13" t="str">
        <f aca="false">IF(AND(F455&lt;&gt;"",G455&lt;&gt;"",H455&lt;&gt;""),IF(E455="Long",(H455-F455)/(F455-G455),(F455-H455)/(G455-F455)),"")</f>
        <v/>
      </c>
      <c r="N455" s="13" t="str">
        <f aca="false">IF(AND(F455&lt;&gt;"",G455&lt;&gt;"",I455&lt;&gt;""),IF(E455="Long",(I455-F455)/(F455-G455),(F455-I455)/(G455-F455)),"")</f>
        <v/>
      </c>
      <c r="O455" s="9" t="str">
        <f aca="false">IF(L455="","",IF(L455&gt;0,"Win",IF(L455&lt;0,"Loss","Break Even")))</f>
        <v/>
      </c>
      <c r="P455" s="9"/>
      <c r="Q455" s="9"/>
      <c r="R455" s="9"/>
    </row>
    <row r="456" customFormat="false" ht="15" hidden="false" customHeight="false" outlineLevel="0" collapsed="false">
      <c r="A456" s="4" t="str">
        <f aca="false">IF(B456&lt;&gt;"",ROW()-3,"")</f>
        <v/>
      </c>
      <c r="B456" s="5"/>
      <c r="C456" s="4" t="str">
        <f aca="false">IF(B456&lt;&gt;"",TEXT(B456,"DDDD"),"")</f>
        <v/>
      </c>
      <c r="D456" s="4"/>
      <c r="E456" s="4"/>
      <c r="F456" s="4"/>
      <c r="G456" s="4"/>
      <c r="H456" s="4"/>
      <c r="I456" s="4"/>
      <c r="J456" s="4"/>
      <c r="K456" s="6" t="str">
        <f aca="false">IF(AND(B456&lt;&gt;"",I456&lt;&gt;"",F456&lt;&gt;""),IF(E456="Long",(I456-F456)*20,(F456-I456)*20),"")</f>
        <v/>
      </c>
      <c r="L456" s="7" t="str">
        <f aca="false">IF(AND(K456&lt;&gt;"",J456&lt;&gt;""),K456*J456,"")</f>
        <v/>
      </c>
      <c r="M456" s="8" t="str">
        <f aca="false">IF(AND(F456&lt;&gt;"",G456&lt;&gt;"",H456&lt;&gt;""),IF(E456="Long",(H456-F456)/(F456-G456),(F456-H456)/(G456-F456)),"")</f>
        <v/>
      </c>
      <c r="N456" s="8" t="str">
        <f aca="false">IF(AND(F456&lt;&gt;"",G456&lt;&gt;"",I456&lt;&gt;""),IF(E456="Long",(I456-F456)/(F456-G456),(F456-I456)/(G456-F456)),"")</f>
        <v/>
      </c>
      <c r="O456" s="4" t="str">
        <f aca="false">IF(L456="","",IF(L456&gt;0,"Win",IF(L456&lt;0,"Loss","Break Even")))</f>
        <v/>
      </c>
      <c r="P456" s="4"/>
      <c r="Q456" s="4"/>
      <c r="R456" s="4"/>
    </row>
    <row r="457" customFormat="false" ht="15" hidden="false" customHeight="false" outlineLevel="0" collapsed="false">
      <c r="A457" s="9" t="str">
        <f aca="false">IF(B457&lt;&gt;"",ROW()-3,"")</f>
        <v/>
      </c>
      <c r="B457" s="10"/>
      <c r="C457" s="9" t="str">
        <f aca="false">IF(B457&lt;&gt;"",TEXT(B457,"DDDD"),"")</f>
        <v/>
      </c>
      <c r="D457" s="9"/>
      <c r="E457" s="9"/>
      <c r="F457" s="9"/>
      <c r="G457" s="9"/>
      <c r="H457" s="9"/>
      <c r="I457" s="9"/>
      <c r="J457" s="9"/>
      <c r="K457" s="11" t="str">
        <f aca="false">IF(AND(B457&lt;&gt;"",I457&lt;&gt;"",F457&lt;&gt;""),IF(E457="Long",(I457-F457)*20,(F457-I457)*20),"")</f>
        <v/>
      </c>
      <c r="L457" s="12" t="str">
        <f aca="false">IF(AND(K457&lt;&gt;"",J457&lt;&gt;""),K457*J457,"")</f>
        <v/>
      </c>
      <c r="M457" s="13" t="str">
        <f aca="false">IF(AND(F457&lt;&gt;"",G457&lt;&gt;"",H457&lt;&gt;""),IF(E457="Long",(H457-F457)/(F457-G457),(F457-H457)/(G457-F457)),"")</f>
        <v/>
      </c>
      <c r="N457" s="13" t="str">
        <f aca="false">IF(AND(F457&lt;&gt;"",G457&lt;&gt;"",I457&lt;&gt;""),IF(E457="Long",(I457-F457)/(F457-G457),(F457-I457)/(G457-F457)),"")</f>
        <v/>
      </c>
      <c r="O457" s="9" t="str">
        <f aca="false">IF(L457="","",IF(L457&gt;0,"Win",IF(L457&lt;0,"Loss","Break Even")))</f>
        <v/>
      </c>
      <c r="P457" s="9"/>
      <c r="Q457" s="9"/>
      <c r="R457" s="9"/>
    </row>
    <row r="458" customFormat="false" ht="15" hidden="false" customHeight="false" outlineLevel="0" collapsed="false">
      <c r="A458" s="4" t="str">
        <f aca="false">IF(B458&lt;&gt;"",ROW()-3,"")</f>
        <v/>
      </c>
      <c r="B458" s="5"/>
      <c r="C458" s="4" t="str">
        <f aca="false">IF(B458&lt;&gt;"",TEXT(B458,"DDDD"),"")</f>
        <v/>
      </c>
      <c r="D458" s="4"/>
      <c r="E458" s="4"/>
      <c r="F458" s="4"/>
      <c r="G458" s="4"/>
      <c r="H458" s="4"/>
      <c r="I458" s="4"/>
      <c r="J458" s="4"/>
      <c r="K458" s="6" t="str">
        <f aca="false">IF(AND(B458&lt;&gt;"",I458&lt;&gt;"",F458&lt;&gt;""),IF(E458="Long",(I458-F458)*20,(F458-I458)*20),"")</f>
        <v/>
      </c>
      <c r="L458" s="7" t="str">
        <f aca="false">IF(AND(K458&lt;&gt;"",J458&lt;&gt;""),K458*J458,"")</f>
        <v/>
      </c>
      <c r="M458" s="8" t="str">
        <f aca="false">IF(AND(F458&lt;&gt;"",G458&lt;&gt;"",H458&lt;&gt;""),IF(E458="Long",(H458-F458)/(F458-G458),(F458-H458)/(G458-F458)),"")</f>
        <v/>
      </c>
      <c r="N458" s="8" t="str">
        <f aca="false">IF(AND(F458&lt;&gt;"",G458&lt;&gt;"",I458&lt;&gt;""),IF(E458="Long",(I458-F458)/(F458-G458),(F458-I458)/(G458-F458)),"")</f>
        <v/>
      </c>
      <c r="O458" s="4" t="str">
        <f aca="false">IF(L458="","",IF(L458&gt;0,"Win",IF(L458&lt;0,"Loss","Break Even")))</f>
        <v/>
      </c>
      <c r="P458" s="4"/>
      <c r="Q458" s="4"/>
      <c r="R458" s="4"/>
    </row>
    <row r="459" customFormat="false" ht="15" hidden="false" customHeight="false" outlineLevel="0" collapsed="false">
      <c r="A459" s="9" t="str">
        <f aca="false">IF(B459&lt;&gt;"",ROW()-3,"")</f>
        <v/>
      </c>
      <c r="B459" s="10"/>
      <c r="C459" s="9" t="str">
        <f aca="false">IF(B459&lt;&gt;"",TEXT(B459,"DDDD"),"")</f>
        <v/>
      </c>
      <c r="D459" s="9"/>
      <c r="E459" s="9"/>
      <c r="F459" s="9"/>
      <c r="G459" s="9"/>
      <c r="H459" s="9"/>
      <c r="I459" s="9"/>
      <c r="J459" s="9"/>
      <c r="K459" s="11" t="str">
        <f aca="false">IF(AND(B459&lt;&gt;"",I459&lt;&gt;"",F459&lt;&gt;""),IF(E459="Long",(I459-F459)*20,(F459-I459)*20),"")</f>
        <v/>
      </c>
      <c r="L459" s="12" t="str">
        <f aca="false">IF(AND(K459&lt;&gt;"",J459&lt;&gt;""),K459*J459,"")</f>
        <v/>
      </c>
      <c r="M459" s="13" t="str">
        <f aca="false">IF(AND(F459&lt;&gt;"",G459&lt;&gt;"",H459&lt;&gt;""),IF(E459="Long",(H459-F459)/(F459-G459),(F459-H459)/(G459-F459)),"")</f>
        <v/>
      </c>
      <c r="N459" s="13" t="str">
        <f aca="false">IF(AND(F459&lt;&gt;"",G459&lt;&gt;"",I459&lt;&gt;""),IF(E459="Long",(I459-F459)/(F459-G459),(F459-I459)/(G459-F459)),"")</f>
        <v/>
      </c>
      <c r="O459" s="9" t="str">
        <f aca="false">IF(L459="","",IF(L459&gt;0,"Win",IF(L459&lt;0,"Loss","Break Even")))</f>
        <v/>
      </c>
      <c r="P459" s="9"/>
      <c r="Q459" s="9"/>
      <c r="R459" s="9"/>
    </row>
    <row r="460" customFormat="false" ht="15" hidden="false" customHeight="false" outlineLevel="0" collapsed="false">
      <c r="A460" s="4" t="str">
        <f aca="false">IF(B460&lt;&gt;"",ROW()-3,"")</f>
        <v/>
      </c>
      <c r="B460" s="5"/>
      <c r="C460" s="4" t="str">
        <f aca="false">IF(B460&lt;&gt;"",TEXT(B460,"DDDD"),"")</f>
        <v/>
      </c>
      <c r="D460" s="4"/>
      <c r="E460" s="4"/>
      <c r="F460" s="4"/>
      <c r="G460" s="4"/>
      <c r="H460" s="4"/>
      <c r="I460" s="4"/>
      <c r="J460" s="4"/>
      <c r="K460" s="6" t="str">
        <f aca="false">IF(AND(B460&lt;&gt;"",I460&lt;&gt;"",F460&lt;&gt;""),IF(E460="Long",(I460-F460)*20,(F460-I460)*20),"")</f>
        <v/>
      </c>
      <c r="L460" s="7" t="str">
        <f aca="false">IF(AND(K460&lt;&gt;"",J460&lt;&gt;""),K460*J460,"")</f>
        <v/>
      </c>
      <c r="M460" s="8" t="str">
        <f aca="false">IF(AND(F460&lt;&gt;"",G460&lt;&gt;"",H460&lt;&gt;""),IF(E460="Long",(H460-F460)/(F460-G460),(F460-H460)/(G460-F460)),"")</f>
        <v/>
      </c>
      <c r="N460" s="8" t="str">
        <f aca="false">IF(AND(F460&lt;&gt;"",G460&lt;&gt;"",I460&lt;&gt;""),IF(E460="Long",(I460-F460)/(F460-G460),(F460-I460)/(G460-F460)),"")</f>
        <v/>
      </c>
      <c r="O460" s="4" t="str">
        <f aca="false">IF(L460="","",IF(L460&gt;0,"Win",IF(L460&lt;0,"Loss","Break Even")))</f>
        <v/>
      </c>
      <c r="P460" s="4"/>
      <c r="Q460" s="4"/>
      <c r="R460" s="4"/>
    </row>
    <row r="461" customFormat="false" ht="15" hidden="false" customHeight="false" outlineLevel="0" collapsed="false">
      <c r="A461" s="9" t="str">
        <f aca="false">IF(B461&lt;&gt;"",ROW()-3,"")</f>
        <v/>
      </c>
      <c r="B461" s="10"/>
      <c r="C461" s="9" t="str">
        <f aca="false">IF(B461&lt;&gt;"",TEXT(B461,"DDDD"),"")</f>
        <v/>
      </c>
      <c r="D461" s="9"/>
      <c r="E461" s="9"/>
      <c r="F461" s="9"/>
      <c r="G461" s="9"/>
      <c r="H461" s="9"/>
      <c r="I461" s="9"/>
      <c r="J461" s="9"/>
      <c r="K461" s="11" t="str">
        <f aca="false">IF(AND(B461&lt;&gt;"",I461&lt;&gt;"",F461&lt;&gt;""),IF(E461="Long",(I461-F461)*20,(F461-I461)*20),"")</f>
        <v/>
      </c>
      <c r="L461" s="12" t="str">
        <f aca="false">IF(AND(K461&lt;&gt;"",J461&lt;&gt;""),K461*J461,"")</f>
        <v/>
      </c>
      <c r="M461" s="13" t="str">
        <f aca="false">IF(AND(F461&lt;&gt;"",G461&lt;&gt;"",H461&lt;&gt;""),IF(E461="Long",(H461-F461)/(F461-G461),(F461-H461)/(G461-F461)),"")</f>
        <v/>
      </c>
      <c r="N461" s="13" t="str">
        <f aca="false">IF(AND(F461&lt;&gt;"",G461&lt;&gt;"",I461&lt;&gt;""),IF(E461="Long",(I461-F461)/(F461-G461),(F461-I461)/(G461-F461)),"")</f>
        <v/>
      </c>
      <c r="O461" s="9" t="str">
        <f aca="false">IF(L461="","",IF(L461&gt;0,"Win",IF(L461&lt;0,"Loss","Break Even")))</f>
        <v/>
      </c>
      <c r="P461" s="9"/>
      <c r="Q461" s="9"/>
      <c r="R461" s="9"/>
    </row>
    <row r="462" customFormat="false" ht="15" hidden="false" customHeight="false" outlineLevel="0" collapsed="false">
      <c r="A462" s="4" t="str">
        <f aca="false">IF(B462&lt;&gt;"",ROW()-3,"")</f>
        <v/>
      </c>
      <c r="B462" s="5"/>
      <c r="C462" s="4" t="str">
        <f aca="false">IF(B462&lt;&gt;"",TEXT(B462,"DDDD"),"")</f>
        <v/>
      </c>
      <c r="D462" s="4"/>
      <c r="E462" s="4"/>
      <c r="F462" s="4"/>
      <c r="G462" s="4"/>
      <c r="H462" s="4"/>
      <c r="I462" s="4"/>
      <c r="J462" s="4"/>
      <c r="K462" s="6" t="str">
        <f aca="false">IF(AND(B462&lt;&gt;"",I462&lt;&gt;"",F462&lt;&gt;""),IF(E462="Long",(I462-F462)*20,(F462-I462)*20),"")</f>
        <v/>
      </c>
      <c r="L462" s="7" t="str">
        <f aca="false">IF(AND(K462&lt;&gt;"",J462&lt;&gt;""),K462*J462,"")</f>
        <v/>
      </c>
      <c r="M462" s="8" t="str">
        <f aca="false">IF(AND(F462&lt;&gt;"",G462&lt;&gt;"",H462&lt;&gt;""),IF(E462="Long",(H462-F462)/(F462-G462),(F462-H462)/(G462-F462)),"")</f>
        <v/>
      </c>
      <c r="N462" s="8" t="str">
        <f aca="false">IF(AND(F462&lt;&gt;"",G462&lt;&gt;"",I462&lt;&gt;""),IF(E462="Long",(I462-F462)/(F462-G462),(F462-I462)/(G462-F462)),"")</f>
        <v/>
      </c>
      <c r="O462" s="4" t="str">
        <f aca="false">IF(L462="","",IF(L462&gt;0,"Win",IF(L462&lt;0,"Loss","Break Even")))</f>
        <v/>
      </c>
      <c r="P462" s="4"/>
      <c r="Q462" s="4"/>
      <c r="R462" s="4"/>
    </row>
    <row r="463" customFormat="false" ht="15" hidden="false" customHeight="false" outlineLevel="0" collapsed="false">
      <c r="A463" s="9" t="str">
        <f aca="false">IF(B463&lt;&gt;"",ROW()-3,"")</f>
        <v/>
      </c>
      <c r="B463" s="10"/>
      <c r="C463" s="9" t="str">
        <f aca="false">IF(B463&lt;&gt;"",TEXT(B463,"DDDD"),"")</f>
        <v/>
      </c>
      <c r="D463" s="9"/>
      <c r="E463" s="9"/>
      <c r="F463" s="9"/>
      <c r="G463" s="9"/>
      <c r="H463" s="9"/>
      <c r="I463" s="9"/>
      <c r="J463" s="9"/>
      <c r="K463" s="11" t="str">
        <f aca="false">IF(AND(B463&lt;&gt;"",I463&lt;&gt;"",F463&lt;&gt;""),IF(E463="Long",(I463-F463)*20,(F463-I463)*20),"")</f>
        <v/>
      </c>
      <c r="L463" s="12" t="str">
        <f aca="false">IF(AND(K463&lt;&gt;"",J463&lt;&gt;""),K463*J463,"")</f>
        <v/>
      </c>
      <c r="M463" s="13" t="str">
        <f aca="false">IF(AND(F463&lt;&gt;"",G463&lt;&gt;"",H463&lt;&gt;""),IF(E463="Long",(H463-F463)/(F463-G463),(F463-H463)/(G463-F463)),"")</f>
        <v/>
      </c>
      <c r="N463" s="13" t="str">
        <f aca="false">IF(AND(F463&lt;&gt;"",G463&lt;&gt;"",I463&lt;&gt;""),IF(E463="Long",(I463-F463)/(F463-G463),(F463-I463)/(G463-F463)),"")</f>
        <v/>
      </c>
      <c r="O463" s="9" t="str">
        <f aca="false">IF(L463="","",IF(L463&gt;0,"Win",IF(L463&lt;0,"Loss","Break Even")))</f>
        <v/>
      </c>
      <c r="P463" s="9"/>
      <c r="Q463" s="9"/>
      <c r="R463" s="9"/>
    </row>
    <row r="464" customFormat="false" ht="15" hidden="false" customHeight="false" outlineLevel="0" collapsed="false">
      <c r="A464" s="4" t="str">
        <f aca="false">IF(B464&lt;&gt;"",ROW()-3,"")</f>
        <v/>
      </c>
      <c r="B464" s="5"/>
      <c r="C464" s="4" t="str">
        <f aca="false">IF(B464&lt;&gt;"",TEXT(B464,"DDDD"),"")</f>
        <v/>
      </c>
      <c r="D464" s="4"/>
      <c r="E464" s="4"/>
      <c r="F464" s="4"/>
      <c r="G464" s="4"/>
      <c r="H464" s="4"/>
      <c r="I464" s="4"/>
      <c r="J464" s="4"/>
      <c r="K464" s="6" t="str">
        <f aca="false">IF(AND(B464&lt;&gt;"",I464&lt;&gt;"",F464&lt;&gt;""),IF(E464="Long",(I464-F464)*20,(F464-I464)*20),"")</f>
        <v/>
      </c>
      <c r="L464" s="7" t="str">
        <f aca="false">IF(AND(K464&lt;&gt;"",J464&lt;&gt;""),K464*J464,"")</f>
        <v/>
      </c>
      <c r="M464" s="8" t="str">
        <f aca="false">IF(AND(F464&lt;&gt;"",G464&lt;&gt;"",H464&lt;&gt;""),IF(E464="Long",(H464-F464)/(F464-G464),(F464-H464)/(G464-F464)),"")</f>
        <v/>
      </c>
      <c r="N464" s="8" t="str">
        <f aca="false">IF(AND(F464&lt;&gt;"",G464&lt;&gt;"",I464&lt;&gt;""),IF(E464="Long",(I464-F464)/(F464-G464),(F464-I464)/(G464-F464)),"")</f>
        <v/>
      </c>
      <c r="O464" s="4" t="str">
        <f aca="false">IF(L464="","",IF(L464&gt;0,"Win",IF(L464&lt;0,"Loss","Break Even")))</f>
        <v/>
      </c>
      <c r="P464" s="4"/>
      <c r="Q464" s="4"/>
      <c r="R464" s="4"/>
    </row>
    <row r="465" customFormat="false" ht="15" hidden="false" customHeight="false" outlineLevel="0" collapsed="false">
      <c r="A465" s="9" t="str">
        <f aca="false">IF(B465&lt;&gt;"",ROW()-3,"")</f>
        <v/>
      </c>
      <c r="B465" s="10"/>
      <c r="C465" s="9" t="str">
        <f aca="false">IF(B465&lt;&gt;"",TEXT(B465,"DDDD"),"")</f>
        <v/>
      </c>
      <c r="D465" s="9"/>
      <c r="E465" s="9"/>
      <c r="F465" s="9"/>
      <c r="G465" s="9"/>
      <c r="H465" s="9"/>
      <c r="I465" s="9"/>
      <c r="J465" s="9"/>
      <c r="K465" s="11" t="str">
        <f aca="false">IF(AND(B465&lt;&gt;"",I465&lt;&gt;"",F465&lt;&gt;""),IF(E465="Long",(I465-F465)*20,(F465-I465)*20),"")</f>
        <v/>
      </c>
      <c r="L465" s="12" t="str">
        <f aca="false">IF(AND(K465&lt;&gt;"",J465&lt;&gt;""),K465*J465,"")</f>
        <v/>
      </c>
      <c r="M465" s="13" t="str">
        <f aca="false">IF(AND(F465&lt;&gt;"",G465&lt;&gt;"",H465&lt;&gt;""),IF(E465="Long",(H465-F465)/(F465-G465),(F465-H465)/(G465-F465)),"")</f>
        <v/>
      </c>
      <c r="N465" s="13" t="str">
        <f aca="false">IF(AND(F465&lt;&gt;"",G465&lt;&gt;"",I465&lt;&gt;""),IF(E465="Long",(I465-F465)/(F465-G465),(F465-I465)/(G465-F465)),"")</f>
        <v/>
      </c>
      <c r="O465" s="9" t="str">
        <f aca="false">IF(L465="","",IF(L465&gt;0,"Win",IF(L465&lt;0,"Loss","Break Even")))</f>
        <v/>
      </c>
      <c r="P465" s="9"/>
      <c r="Q465" s="9"/>
      <c r="R465" s="9"/>
    </row>
    <row r="466" customFormat="false" ht="15" hidden="false" customHeight="false" outlineLevel="0" collapsed="false">
      <c r="A466" s="4" t="str">
        <f aca="false">IF(B466&lt;&gt;"",ROW()-3,"")</f>
        <v/>
      </c>
      <c r="B466" s="5"/>
      <c r="C466" s="4" t="str">
        <f aca="false">IF(B466&lt;&gt;"",TEXT(B466,"DDDD"),"")</f>
        <v/>
      </c>
      <c r="D466" s="4"/>
      <c r="E466" s="4"/>
      <c r="F466" s="4"/>
      <c r="G466" s="4"/>
      <c r="H466" s="4"/>
      <c r="I466" s="4"/>
      <c r="J466" s="4"/>
      <c r="K466" s="6" t="str">
        <f aca="false">IF(AND(B466&lt;&gt;"",I466&lt;&gt;"",F466&lt;&gt;""),IF(E466="Long",(I466-F466)*20,(F466-I466)*20),"")</f>
        <v/>
      </c>
      <c r="L466" s="7" t="str">
        <f aca="false">IF(AND(K466&lt;&gt;"",J466&lt;&gt;""),K466*J466,"")</f>
        <v/>
      </c>
      <c r="M466" s="8" t="str">
        <f aca="false">IF(AND(F466&lt;&gt;"",G466&lt;&gt;"",H466&lt;&gt;""),IF(E466="Long",(H466-F466)/(F466-G466),(F466-H466)/(G466-F466)),"")</f>
        <v/>
      </c>
      <c r="N466" s="8" t="str">
        <f aca="false">IF(AND(F466&lt;&gt;"",G466&lt;&gt;"",I466&lt;&gt;""),IF(E466="Long",(I466-F466)/(F466-G466),(F466-I466)/(G466-F466)),"")</f>
        <v/>
      </c>
      <c r="O466" s="4" t="str">
        <f aca="false">IF(L466="","",IF(L466&gt;0,"Win",IF(L466&lt;0,"Loss","Break Even")))</f>
        <v/>
      </c>
      <c r="P466" s="4"/>
      <c r="Q466" s="4"/>
      <c r="R466" s="4"/>
    </row>
    <row r="467" customFormat="false" ht="15" hidden="false" customHeight="false" outlineLevel="0" collapsed="false">
      <c r="A467" s="9" t="str">
        <f aca="false">IF(B467&lt;&gt;"",ROW()-3,"")</f>
        <v/>
      </c>
      <c r="B467" s="10"/>
      <c r="C467" s="9" t="str">
        <f aca="false">IF(B467&lt;&gt;"",TEXT(B467,"DDDD"),"")</f>
        <v/>
      </c>
      <c r="D467" s="9"/>
      <c r="E467" s="9"/>
      <c r="F467" s="9"/>
      <c r="G467" s="9"/>
      <c r="H467" s="9"/>
      <c r="I467" s="9"/>
      <c r="J467" s="9"/>
      <c r="K467" s="11" t="str">
        <f aca="false">IF(AND(B467&lt;&gt;"",I467&lt;&gt;"",F467&lt;&gt;""),IF(E467="Long",(I467-F467)*20,(F467-I467)*20),"")</f>
        <v/>
      </c>
      <c r="L467" s="12" t="str">
        <f aca="false">IF(AND(K467&lt;&gt;"",J467&lt;&gt;""),K467*J467,"")</f>
        <v/>
      </c>
      <c r="M467" s="13" t="str">
        <f aca="false">IF(AND(F467&lt;&gt;"",G467&lt;&gt;"",H467&lt;&gt;""),IF(E467="Long",(H467-F467)/(F467-G467),(F467-H467)/(G467-F467)),"")</f>
        <v/>
      </c>
      <c r="N467" s="13" t="str">
        <f aca="false">IF(AND(F467&lt;&gt;"",G467&lt;&gt;"",I467&lt;&gt;""),IF(E467="Long",(I467-F467)/(F467-G467),(F467-I467)/(G467-F467)),"")</f>
        <v/>
      </c>
      <c r="O467" s="9" t="str">
        <f aca="false">IF(L467="","",IF(L467&gt;0,"Win",IF(L467&lt;0,"Loss","Break Even")))</f>
        <v/>
      </c>
      <c r="P467" s="9"/>
      <c r="Q467" s="9"/>
      <c r="R467" s="9"/>
    </row>
    <row r="468" customFormat="false" ht="15" hidden="false" customHeight="false" outlineLevel="0" collapsed="false">
      <c r="A468" s="4" t="str">
        <f aca="false">IF(B468&lt;&gt;"",ROW()-3,"")</f>
        <v/>
      </c>
      <c r="B468" s="5"/>
      <c r="C468" s="4" t="str">
        <f aca="false">IF(B468&lt;&gt;"",TEXT(B468,"DDDD"),"")</f>
        <v/>
      </c>
      <c r="D468" s="4"/>
      <c r="E468" s="4"/>
      <c r="F468" s="4"/>
      <c r="G468" s="4"/>
      <c r="H468" s="4"/>
      <c r="I468" s="4"/>
      <c r="J468" s="4"/>
      <c r="K468" s="6" t="str">
        <f aca="false">IF(AND(B468&lt;&gt;"",I468&lt;&gt;"",F468&lt;&gt;""),IF(E468="Long",(I468-F468)*20,(F468-I468)*20),"")</f>
        <v/>
      </c>
      <c r="L468" s="7" t="str">
        <f aca="false">IF(AND(K468&lt;&gt;"",J468&lt;&gt;""),K468*J468,"")</f>
        <v/>
      </c>
      <c r="M468" s="8" t="str">
        <f aca="false">IF(AND(F468&lt;&gt;"",G468&lt;&gt;"",H468&lt;&gt;""),IF(E468="Long",(H468-F468)/(F468-G468),(F468-H468)/(G468-F468)),"")</f>
        <v/>
      </c>
      <c r="N468" s="8" t="str">
        <f aca="false">IF(AND(F468&lt;&gt;"",G468&lt;&gt;"",I468&lt;&gt;""),IF(E468="Long",(I468-F468)/(F468-G468),(F468-I468)/(G468-F468)),"")</f>
        <v/>
      </c>
      <c r="O468" s="4" t="str">
        <f aca="false">IF(L468="","",IF(L468&gt;0,"Win",IF(L468&lt;0,"Loss","Break Even")))</f>
        <v/>
      </c>
      <c r="P468" s="4"/>
      <c r="Q468" s="4"/>
      <c r="R468" s="4"/>
    </row>
    <row r="469" customFormat="false" ht="15" hidden="false" customHeight="false" outlineLevel="0" collapsed="false">
      <c r="A469" s="9" t="str">
        <f aca="false">IF(B469&lt;&gt;"",ROW()-3,"")</f>
        <v/>
      </c>
      <c r="B469" s="10"/>
      <c r="C469" s="9" t="str">
        <f aca="false">IF(B469&lt;&gt;"",TEXT(B469,"DDDD"),"")</f>
        <v/>
      </c>
      <c r="D469" s="9"/>
      <c r="E469" s="9"/>
      <c r="F469" s="9"/>
      <c r="G469" s="9"/>
      <c r="H469" s="9"/>
      <c r="I469" s="9"/>
      <c r="J469" s="9"/>
      <c r="K469" s="11" t="str">
        <f aca="false">IF(AND(B469&lt;&gt;"",I469&lt;&gt;"",F469&lt;&gt;""),IF(E469="Long",(I469-F469)*20,(F469-I469)*20),"")</f>
        <v/>
      </c>
      <c r="L469" s="12" t="str">
        <f aca="false">IF(AND(K469&lt;&gt;"",J469&lt;&gt;""),K469*J469,"")</f>
        <v/>
      </c>
      <c r="M469" s="13" t="str">
        <f aca="false">IF(AND(F469&lt;&gt;"",G469&lt;&gt;"",H469&lt;&gt;""),IF(E469="Long",(H469-F469)/(F469-G469),(F469-H469)/(G469-F469)),"")</f>
        <v/>
      </c>
      <c r="N469" s="13" t="str">
        <f aca="false">IF(AND(F469&lt;&gt;"",G469&lt;&gt;"",I469&lt;&gt;""),IF(E469="Long",(I469-F469)/(F469-G469),(F469-I469)/(G469-F469)),"")</f>
        <v/>
      </c>
      <c r="O469" s="9" t="str">
        <f aca="false">IF(L469="","",IF(L469&gt;0,"Win",IF(L469&lt;0,"Loss","Break Even")))</f>
        <v/>
      </c>
      <c r="P469" s="9"/>
      <c r="Q469" s="9"/>
      <c r="R469" s="9"/>
    </row>
    <row r="470" customFormat="false" ht="15" hidden="false" customHeight="false" outlineLevel="0" collapsed="false">
      <c r="A470" s="4" t="str">
        <f aca="false">IF(B470&lt;&gt;"",ROW()-3,"")</f>
        <v/>
      </c>
      <c r="B470" s="5"/>
      <c r="C470" s="4" t="str">
        <f aca="false">IF(B470&lt;&gt;"",TEXT(B470,"DDDD"),"")</f>
        <v/>
      </c>
      <c r="D470" s="4"/>
      <c r="E470" s="4"/>
      <c r="F470" s="4"/>
      <c r="G470" s="4"/>
      <c r="H470" s="4"/>
      <c r="I470" s="4"/>
      <c r="J470" s="4"/>
      <c r="K470" s="6" t="str">
        <f aca="false">IF(AND(B470&lt;&gt;"",I470&lt;&gt;"",F470&lt;&gt;""),IF(E470="Long",(I470-F470)*20,(F470-I470)*20),"")</f>
        <v/>
      </c>
      <c r="L470" s="7" t="str">
        <f aca="false">IF(AND(K470&lt;&gt;"",J470&lt;&gt;""),K470*J470,"")</f>
        <v/>
      </c>
      <c r="M470" s="8" t="str">
        <f aca="false">IF(AND(F470&lt;&gt;"",G470&lt;&gt;"",H470&lt;&gt;""),IF(E470="Long",(H470-F470)/(F470-G470),(F470-H470)/(G470-F470)),"")</f>
        <v/>
      </c>
      <c r="N470" s="8" t="str">
        <f aca="false">IF(AND(F470&lt;&gt;"",G470&lt;&gt;"",I470&lt;&gt;""),IF(E470="Long",(I470-F470)/(F470-G470),(F470-I470)/(G470-F470)),"")</f>
        <v/>
      </c>
      <c r="O470" s="4" t="str">
        <f aca="false">IF(L470="","",IF(L470&gt;0,"Win",IF(L470&lt;0,"Loss","Break Even")))</f>
        <v/>
      </c>
      <c r="P470" s="4"/>
      <c r="Q470" s="4"/>
      <c r="R470" s="4"/>
    </row>
    <row r="471" customFormat="false" ht="15" hidden="false" customHeight="false" outlineLevel="0" collapsed="false">
      <c r="A471" s="9" t="str">
        <f aca="false">IF(B471&lt;&gt;"",ROW()-3,"")</f>
        <v/>
      </c>
      <c r="B471" s="10"/>
      <c r="C471" s="9" t="str">
        <f aca="false">IF(B471&lt;&gt;"",TEXT(B471,"DDDD"),"")</f>
        <v/>
      </c>
      <c r="D471" s="9"/>
      <c r="E471" s="9"/>
      <c r="F471" s="9"/>
      <c r="G471" s="9"/>
      <c r="H471" s="9"/>
      <c r="I471" s="9"/>
      <c r="J471" s="9"/>
      <c r="K471" s="11" t="str">
        <f aca="false">IF(AND(B471&lt;&gt;"",I471&lt;&gt;"",F471&lt;&gt;""),IF(E471="Long",(I471-F471)*20,(F471-I471)*20),"")</f>
        <v/>
      </c>
      <c r="L471" s="12" t="str">
        <f aca="false">IF(AND(K471&lt;&gt;"",J471&lt;&gt;""),K471*J471,"")</f>
        <v/>
      </c>
      <c r="M471" s="13" t="str">
        <f aca="false">IF(AND(F471&lt;&gt;"",G471&lt;&gt;"",H471&lt;&gt;""),IF(E471="Long",(H471-F471)/(F471-G471),(F471-H471)/(G471-F471)),"")</f>
        <v/>
      </c>
      <c r="N471" s="13" t="str">
        <f aca="false">IF(AND(F471&lt;&gt;"",G471&lt;&gt;"",I471&lt;&gt;""),IF(E471="Long",(I471-F471)/(F471-G471),(F471-I471)/(G471-F471)),"")</f>
        <v/>
      </c>
      <c r="O471" s="9" t="str">
        <f aca="false">IF(L471="","",IF(L471&gt;0,"Win",IF(L471&lt;0,"Loss","Break Even")))</f>
        <v/>
      </c>
      <c r="P471" s="9"/>
      <c r="Q471" s="9"/>
      <c r="R471" s="9"/>
    </row>
    <row r="472" customFormat="false" ht="15" hidden="false" customHeight="false" outlineLevel="0" collapsed="false">
      <c r="A472" s="4" t="str">
        <f aca="false">IF(B472&lt;&gt;"",ROW()-3,"")</f>
        <v/>
      </c>
      <c r="B472" s="5"/>
      <c r="C472" s="4" t="str">
        <f aca="false">IF(B472&lt;&gt;"",TEXT(B472,"DDDD"),"")</f>
        <v/>
      </c>
      <c r="D472" s="4"/>
      <c r="E472" s="4"/>
      <c r="F472" s="4"/>
      <c r="G472" s="4"/>
      <c r="H472" s="4"/>
      <c r="I472" s="4"/>
      <c r="J472" s="4"/>
      <c r="K472" s="6" t="str">
        <f aca="false">IF(AND(B472&lt;&gt;"",I472&lt;&gt;"",F472&lt;&gt;""),IF(E472="Long",(I472-F472)*20,(F472-I472)*20),"")</f>
        <v/>
      </c>
      <c r="L472" s="7" t="str">
        <f aca="false">IF(AND(K472&lt;&gt;"",J472&lt;&gt;""),K472*J472,"")</f>
        <v/>
      </c>
      <c r="M472" s="8" t="str">
        <f aca="false">IF(AND(F472&lt;&gt;"",G472&lt;&gt;"",H472&lt;&gt;""),IF(E472="Long",(H472-F472)/(F472-G472),(F472-H472)/(G472-F472)),"")</f>
        <v/>
      </c>
      <c r="N472" s="8" t="str">
        <f aca="false">IF(AND(F472&lt;&gt;"",G472&lt;&gt;"",I472&lt;&gt;""),IF(E472="Long",(I472-F472)/(F472-G472),(F472-I472)/(G472-F472)),"")</f>
        <v/>
      </c>
      <c r="O472" s="4" t="str">
        <f aca="false">IF(L472="","",IF(L472&gt;0,"Win",IF(L472&lt;0,"Loss","Break Even")))</f>
        <v/>
      </c>
      <c r="P472" s="4"/>
      <c r="Q472" s="4"/>
      <c r="R472" s="4"/>
    </row>
    <row r="473" customFormat="false" ht="15" hidden="false" customHeight="false" outlineLevel="0" collapsed="false">
      <c r="A473" s="9" t="str">
        <f aca="false">IF(B473&lt;&gt;"",ROW()-3,"")</f>
        <v/>
      </c>
      <c r="B473" s="10"/>
      <c r="C473" s="9" t="str">
        <f aca="false">IF(B473&lt;&gt;"",TEXT(B473,"DDDD"),"")</f>
        <v/>
      </c>
      <c r="D473" s="9"/>
      <c r="E473" s="9"/>
      <c r="F473" s="9"/>
      <c r="G473" s="9"/>
      <c r="H473" s="9"/>
      <c r="I473" s="9"/>
      <c r="J473" s="9"/>
      <c r="K473" s="11" t="str">
        <f aca="false">IF(AND(B473&lt;&gt;"",I473&lt;&gt;"",F473&lt;&gt;""),IF(E473="Long",(I473-F473)*20,(F473-I473)*20),"")</f>
        <v/>
      </c>
      <c r="L473" s="12" t="str">
        <f aca="false">IF(AND(K473&lt;&gt;"",J473&lt;&gt;""),K473*J473,"")</f>
        <v/>
      </c>
      <c r="M473" s="13" t="str">
        <f aca="false">IF(AND(F473&lt;&gt;"",G473&lt;&gt;"",H473&lt;&gt;""),IF(E473="Long",(H473-F473)/(F473-G473),(F473-H473)/(G473-F473)),"")</f>
        <v/>
      </c>
      <c r="N473" s="13" t="str">
        <f aca="false">IF(AND(F473&lt;&gt;"",G473&lt;&gt;"",I473&lt;&gt;""),IF(E473="Long",(I473-F473)/(F473-G473),(F473-I473)/(G473-F473)),"")</f>
        <v/>
      </c>
      <c r="O473" s="9" t="str">
        <f aca="false">IF(L473="","",IF(L473&gt;0,"Win",IF(L473&lt;0,"Loss","Break Even")))</f>
        <v/>
      </c>
      <c r="P473" s="9"/>
      <c r="Q473" s="9"/>
      <c r="R473" s="9"/>
    </row>
    <row r="474" customFormat="false" ht="15" hidden="false" customHeight="false" outlineLevel="0" collapsed="false">
      <c r="A474" s="4" t="str">
        <f aca="false">IF(B474&lt;&gt;"",ROW()-3,"")</f>
        <v/>
      </c>
      <c r="B474" s="5"/>
      <c r="C474" s="4" t="str">
        <f aca="false">IF(B474&lt;&gt;"",TEXT(B474,"DDDD"),"")</f>
        <v/>
      </c>
      <c r="D474" s="4"/>
      <c r="E474" s="4"/>
      <c r="F474" s="4"/>
      <c r="G474" s="4"/>
      <c r="H474" s="4"/>
      <c r="I474" s="4"/>
      <c r="J474" s="4"/>
      <c r="K474" s="6" t="str">
        <f aca="false">IF(AND(B474&lt;&gt;"",I474&lt;&gt;"",F474&lt;&gt;""),IF(E474="Long",(I474-F474)*20,(F474-I474)*20),"")</f>
        <v/>
      </c>
      <c r="L474" s="7" t="str">
        <f aca="false">IF(AND(K474&lt;&gt;"",J474&lt;&gt;""),K474*J474,"")</f>
        <v/>
      </c>
      <c r="M474" s="8" t="str">
        <f aca="false">IF(AND(F474&lt;&gt;"",G474&lt;&gt;"",H474&lt;&gt;""),IF(E474="Long",(H474-F474)/(F474-G474),(F474-H474)/(G474-F474)),"")</f>
        <v/>
      </c>
      <c r="N474" s="8" t="str">
        <f aca="false">IF(AND(F474&lt;&gt;"",G474&lt;&gt;"",I474&lt;&gt;""),IF(E474="Long",(I474-F474)/(F474-G474),(F474-I474)/(G474-F474)),"")</f>
        <v/>
      </c>
      <c r="O474" s="4" t="str">
        <f aca="false">IF(L474="","",IF(L474&gt;0,"Win",IF(L474&lt;0,"Loss","Break Even")))</f>
        <v/>
      </c>
      <c r="P474" s="4"/>
      <c r="Q474" s="4"/>
      <c r="R474" s="4"/>
    </row>
    <row r="475" customFormat="false" ht="15" hidden="false" customHeight="false" outlineLevel="0" collapsed="false">
      <c r="A475" s="9" t="str">
        <f aca="false">IF(B475&lt;&gt;"",ROW()-3,"")</f>
        <v/>
      </c>
      <c r="B475" s="10"/>
      <c r="C475" s="9" t="str">
        <f aca="false">IF(B475&lt;&gt;"",TEXT(B475,"DDDD"),"")</f>
        <v/>
      </c>
      <c r="D475" s="9"/>
      <c r="E475" s="9"/>
      <c r="F475" s="9"/>
      <c r="G475" s="9"/>
      <c r="H475" s="9"/>
      <c r="I475" s="9"/>
      <c r="J475" s="9"/>
      <c r="K475" s="11" t="str">
        <f aca="false">IF(AND(B475&lt;&gt;"",I475&lt;&gt;"",F475&lt;&gt;""),IF(E475="Long",(I475-F475)*20,(F475-I475)*20),"")</f>
        <v/>
      </c>
      <c r="L475" s="12" t="str">
        <f aca="false">IF(AND(K475&lt;&gt;"",J475&lt;&gt;""),K475*J475,"")</f>
        <v/>
      </c>
      <c r="M475" s="13" t="str">
        <f aca="false">IF(AND(F475&lt;&gt;"",G475&lt;&gt;"",H475&lt;&gt;""),IF(E475="Long",(H475-F475)/(F475-G475),(F475-H475)/(G475-F475)),"")</f>
        <v/>
      </c>
      <c r="N475" s="13" t="str">
        <f aca="false">IF(AND(F475&lt;&gt;"",G475&lt;&gt;"",I475&lt;&gt;""),IF(E475="Long",(I475-F475)/(F475-G475),(F475-I475)/(G475-F475)),"")</f>
        <v/>
      </c>
      <c r="O475" s="9" t="str">
        <f aca="false">IF(L475="","",IF(L475&gt;0,"Win",IF(L475&lt;0,"Loss","Break Even")))</f>
        <v/>
      </c>
      <c r="P475" s="9"/>
      <c r="Q475" s="9"/>
      <c r="R475" s="9"/>
    </row>
    <row r="476" customFormat="false" ht="15" hidden="false" customHeight="false" outlineLevel="0" collapsed="false">
      <c r="A476" s="4" t="str">
        <f aca="false">IF(B476&lt;&gt;"",ROW()-3,"")</f>
        <v/>
      </c>
      <c r="B476" s="5"/>
      <c r="C476" s="4" t="str">
        <f aca="false">IF(B476&lt;&gt;"",TEXT(B476,"DDDD"),"")</f>
        <v/>
      </c>
      <c r="D476" s="4"/>
      <c r="E476" s="4"/>
      <c r="F476" s="4"/>
      <c r="G476" s="4"/>
      <c r="H476" s="4"/>
      <c r="I476" s="4"/>
      <c r="J476" s="4"/>
      <c r="K476" s="6" t="str">
        <f aca="false">IF(AND(B476&lt;&gt;"",I476&lt;&gt;"",F476&lt;&gt;""),IF(E476="Long",(I476-F476)*20,(F476-I476)*20),"")</f>
        <v/>
      </c>
      <c r="L476" s="7" t="str">
        <f aca="false">IF(AND(K476&lt;&gt;"",J476&lt;&gt;""),K476*J476,"")</f>
        <v/>
      </c>
      <c r="M476" s="8" t="str">
        <f aca="false">IF(AND(F476&lt;&gt;"",G476&lt;&gt;"",H476&lt;&gt;""),IF(E476="Long",(H476-F476)/(F476-G476),(F476-H476)/(G476-F476)),"")</f>
        <v/>
      </c>
      <c r="N476" s="8" t="str">
        <f aca="false">IF(AND(F476&lt;&gt;"",G476&lt;&gt;"",I476&lt;&gt;""),IF(E476="Long",(I476-F476)/(F476-G476),(F476-I476)/(G476-F476)),"")</f>
        <v/>
      </c>
      <c r="O476" s="4" t="str">
        <f aca="false">IF(L476="","",IF(L476&gt;0,"Win",IF(L476&lt;0,"Loss","Break Even")))</f>
        <v/>
      </c>
      <c r="P476" s="4"/>
      <c r="Q476" s="4"/>
      <c r="R476" s="4"/>
    </row>
    <row r="477" customFormat="false" ht="15" hidden="false" customHeight="false" outlineLevel="0" collapsed="false">
      <c r="A477" s="9" t="str">
        <f aca="false">IF(B477&lt;&gt;"",ROW()-3,"")</f>
        <v/>
      </c>
      <c r="B477" s="10"/>
      <c r="C477" s="9" t="str">
        <f aca="false">IF(B477&lt;&gt;"",TEXT(B477,"DDDD"),"")</f>
        <v/>
      </c>
      <c r="D477" s="9"/>
      <c r="E477" s="9"/>
      <c r="F477" s="9"/>
      <c r="G477" s="9"/>
      <c r="H477" s="9"/>
      <c r="I477" s="9"/>
      <c r="J477" s="9"/>
      <c r="K477" s="11" t="str">
        <f aca="false">IF(AND(B477&lt;&gt;"",I477&lt;&gt;"",F477&lt;&gt;""),IF(E477="Long",(I477-F477)*20,(F477-I477)*20),"")</f>
        <v/>
      </c>
      <c r="L477" s="12" t="str">
        <f aca="false">IF(AND(K477&lt;&gt;"",J477&lt;&gt;""),K477*J477,"")</f>
        <v/>
      </c>
      <c r="M477" s="13" t="str">
        <f aca="false">IF(AND(F477&lt;&gt;"",G477&lt;&gt;"",H477&lt;&gt;""),IF(E477="Long",(H477-F477)/(F477-G477),(F477-H477)/(G477-F477)),"")</f>
        <v/>
      </c>
      <c r="N477" s="13" t="str">
        <f aca="false">IF(AND(F477&lt;&gt;"",G477&lt;&gt;"",I477&lt;&gt;""),IF(E477="Long",(I477-F477)/(F477-G477),(F477-I477)/(G477-F477)),"")</f>
        <v/>
      </c>
      <c r="O477" s="9" t="str">
        <f aca="false">IF(L477="","",IF(L477&gt;0,"Win",IF(L477&lt;0,"Loss","Break Even")))</f>
        <v/>
      </c>
      <c r="P477" s="9"/>
      <c r="Q477" s="9"/>
      <c r="R477" s="9"/>
    </row>
    <row r="478" customFormat="false" ht="15" hidden="false" customHeight="false" outlineLevel="0" collapsed="false">
      <c r="A478" s="4" t="str">
        <f aca="false">IF(B478&lt;&gt;"",ROW()-3,"")</f>
        <v/>
      </c>
      <c r="B478" s="5"/>
      <c r="C478" s="4" t="str">
        <f aca="false">IF(B478&lt;&gt;"",TEXT(B478,"DDDD"),"")</f>
        <v/>
      </c>
      <c r="D478" s="4"/>
      <c r="E478" s="4"/>
      <c r="F478" s="4"/>
      <c r="G478" s="4"/>
      <c r="H478" s="4"/>
      <c r="I478" s="4"/>
      <c r="J478" s="4"/>
      <c r="K478" s="6" t="str">
        <f aca="false">IF(AND(B478&lt;&gt;"",I478&lt;&gt;"",F478&lt;&gt;""),IF(E478="Long",(I478-F478)*20,(F478-I478)*20),"")</f>
        <v/>
      </c>
      <c r="L478" s="7" t="str">
        <f aca="false">IF(AND(K478&lt;&gt;"",J478&lt;&gt;""),K478*J478,"")</f>
        <v/>
      </c>
      <c r="M478" s="8" t="str">
        <f aca="false">IF(AND(F478&lt;&gt;"",G478&lt;&gt;"",H478&lt;&gt;""),IF(E478="Long",(H478-F478)/(F478-G478),(F478-H478)/(G478-F478)),"")</f>
        <v/>
      </c>
      <c r="N478" s="8" t="str">
        <f aca="false">IF(AND(F478&lt;&gt;"",G478&lt;&gt;"",I478&lt;&gt;""),IF(E478="Long",(I478-F478)/(F478-G478),(F478-I478)/(G478-F478)),"")</f>
        <v/>
      </c>
      <c r="O478" s="4" t="str">
        <f aca="false">IF(L478="","",IF(L478&gt;0,"Win",IF(L478&lt;0,"Loss","Break Even")))</f>
        <v/>
      </c>
      <c r="P478" s="4"/>
      <c r="Q478" s="4"/>
      <c r="R478" s="4"/>
    </row>
    <row r="479" customFormat="false" ht="15" hidden="false" customHeight="false" outlineLevel="0" collapsed="false">
      <c r="A479" s="9" t="str">
        <f aca="false">IF(B479&lt;&gt;"",ROW()-3,"")</f>
        <v/>
      </c>
      <c r="B479" s="10"/>
      <c r="C479" s="9" t="str">
        <f aca="false">IF(B479&lt;&gt;"",TEXT(B479,"DDDD"),"")</f>
        <v/>
      </c>
      <c r="D479" s="9"/>
      <c r="E479" s="9"/>
      <c r="F479" s="9"/>
      <c r="G479" s="9"/>
      <c r="H479" s="9"/>
      <c r="I479" s="9"/>
      <c r="J479" s="9"/>
      <c r="K479" s="11" t="str">
        <f aca="false">IF(AND(B479&lt;&gt;"",I479&lt;&gt;"",F479&lt;&gt;""),IF(E479="Long",(I479-F479)*20,(F479-I479)*20),"")</f>
        <v/>
      </c>
      <c r="L479" s="12" t="str">
        <f aca="false">IF(AND(K479&lt;&gt;"",J479&lt;&gt;""),K479*J479,"")</f>
        <v/>
      </c>
      <c r="M479" s="13" t="str">
        <f aca="false">IF(AND(F479&lt;&gt;"",G479&lt;&gt;"",H479&lt;&gt;""),IF(E479="Long",(H479-F479)/(F479-G479),(F479-H479)/(G479-F479)),"")</f>
        <v/>
      </c>
      <c r="N479" s="13" t="str">
        <f aca="false">IF(AND(F479&lt;&gt;"",G479&lt;&gt;"",I479&lt;&gt;""),IF(E479="Long",(I479-F479)/(F479-G479),(F479-I479)/(G479-F479)),"")</f>
        <v/>
      </c>
      <c r="O479" s="9" t="str">
        <f aca="false">IF(L479="","",IF(L479&gt;0,"Win",IF(L479&lt;0,"Loss","Break Even")))</f>
        <v/>
      </c>
      <c r="P479" s="9"/>
      <c r="Q479" s="9"/>
      <c r="R479" s="9"/>
    </row>
    <row r="480" customFormat="false" ht="15" hidden="false" customHeight="false" outlineLevel="0" collapsed="false">
      <c r="A480" s="4" t="str">
        <f aca="false">IF(B480&lt;&gt;"",ROW()-3,"")</f>
        <v/>
      </c>
      <c r="B480" s="5"/>
      <c r="C480" s="4" t="str">
        <f aca="false">IF(B480&lt;&gt;"",TEXT(B480,"DDDD"),"")</f>
        <v/>
      </c>
      <c r="D480" s="4"/>
      <c r="E480" s="4"/>
      <c r="F480" s="4"/>
      <c r="G480" s="4"/>
      <c r="H480" s="4"/>
      <c r="I480" s="4"/>
      <c r="J480" s="4"/>
      <c r="K480" s="6" t="str">
        <f aca="false">IF(AND(B480&lt;&gt;"",I480&lt;&gt;"",F480&lt;&gt;""),IF(E480="Long",(I480-F480)*20,(F480-I480)*20),"")</f>
        <v/>
      </c>
      <c r="L480" s="7" t="str">
        <f aca="false">IF(AND(K480&lt;&gt;"",J480&lt;&gt;""),K480*J480,"")</f>
        <v/>
      </c>
      <c r="M480" s="8" t="str">
        <f aca="false">IF(AND(F480&lt;&gt;"",G480&lt;&gt;"",H480&lt;&gt;""),IF(E480="Long",(H480-F480)/(F480-G480),(F480-H480)/(G480-F480)),"")</f>
        <v/>
      </c>
      <c r="N480" s="8" t="str">
        <f aca="false">IF(AND(F480&lt;&gt;"",G480&lt;&gt;"",I480&lt;&gt;""),IF(E480="Long",(I480-F480)/(F480-G480),(F480-I480)/(G480-F480)),"")</f>
        <v/>
      </c>
      <c r="O480" s="4" t="str">
        <f aca="false">IF(L480="","",IF(L480&gt;0,"Win",IF(L480&lt;0,"Loss","Break Even")))</f>
        <v/>
      </c>
      <c r="P480" s="4"/>
      <c r="Q480" s="4"/>
      <c r="R480" s="4"/>
    </row>
    <row r="481" customFormat="false" ht="15" hidden="false" customHeight="false" outlineLevel="0" collapsed="false">
      <c r="A481" s="9" t="str">
        <f aca="false">IF(B481&lt;&gt;"",ROW()-3,"")</f>
        <v/>
      </c>
      <c r="B481" s="10"/>
      <c r="C481" s="9" t="str">
        <f aca="false">IF(B481&lt;&gt;"",TEXT(B481,"DDDD"),"")</f>
        <v/>
      </c>
      <c r="D481" s="9"/>
      <c r="E481" s="9"/>
      <c r="F481" s="9"/>
      <c r="G481" s="9"/>
      <c r="H481" s="9"/>
      <c r="I481" s="9"/>
      <c r="J481" s="9"/>
      <c r="K481" s="11" t="str">
        <f aca="false">IF(AND(B481&lt;&gt;"",I481&lt;&gt;"",F481&lt;&gt;""),IF(E481="Long",(I481-F481)*20,(F481-I481)*20),"")</f>
        <v/>
      </c>
      <c r="L481" s="12" t="str">
        <f aca="false">IF(AND(K481&lt;&gt;"",J481&lt;&gt;""),K481*J481,"")</f>
        <v/>
      </c>
      <c r="M481" s="13" t="str">
        <f aca="false">IF(AND(F481&lt;&gt;"",G481&lt;&gt;"",H481&lt;&gt;""),IF(E481="Long",(H481-F481)/(F481-G481),(F481-H481)/(G481-F481)),"")</f>
        <v/>
      </c>
      <c r="N481" s="13" t="str">
        <f aca="false">IF(AND(F481&lt;&gt;"",G481&lt;&gt;"",I481&lt;&gt;""),IF(E481="Long",(I481-F481)/(F481-G481),(F481-I481)/(G481-F481)),"")</f>
        <v/>
      </c>
      <c r="O481" s="9" t="str">
        <f aca="false">IF(L481="","",IF(L481&gt;0,"Win",IF(L481&lt;0,"Loss","Break Even")))</f>
        <v/>
      </c>
      <c r="P481" s="9"/>
      <c r="Q481" s="9"/>
      <c r="R481" s="9"/>
    </row>
    <row r="482" customFormat="false" ht="15" hidden="false" customHeight="false" outlineLevel="0" collapsed="false">
      <c r="A482" s="4" t="str">
        <f aca="false">IF(B482&lt;&gt;"",ROW()-3,"")</f>
        <v/>
      </c>
      <c r="B482" s="5"/>
      <c r="C482" s="4" t="str">
        <f aca="false">IF(B482&lt;&gt;"",TEXT(B482,"DDDD"),"")</f>
        <v/>
      </c>
      <c r="D482" s="4"/>
      <c r="E482" s="4"/>
      <c r="F482" s="4"/>
      <c r="G482" s="4"/>
      <c r="H482" s="4"/>
      <c r="I482" s="4"/>
      <c r="J482" s="4"/>
      <c r="K482" s="6" t="str">
        <f aca="false">IF(AND(B482&lt;&gt;"",I482&lt;&gt;"",F482&lt;&gt;""),IF(E482="Long",(I482-F482)*20,(F482-I482)*20),"")</f>
        <v/>
      </c>
      <c r="L482" s="7" t="str">
        <f aca="false">IF(AND(K482&lt;&gt;"",J482&lt;&gt;""),K482*J482,"")</f>
        <v/>
      </c>
      <c r="M482" s="8" t="str">
        <f aca="false">IF(AND(F482&lt;&gt;"",G482&lt;&gt;"",H482&lt;&gt;""),IF(E482="Long",(H482-F482)/(F482-G482),(F482-H482)/(G482-F482)),"")</f>
        <v/>
      </c>
      <c r="N482" s="8" t="str">
        <f aca="false">IF(AND(F482&lt;&gt;"",G482&lt;&gt;"",I482&lt;&gt;""),IF(E482="Long",(I482-F482)/(F482-G482),(F482-I482)/(G482-F482)),"")</f>
        <v/>
      </c>
      <c r="O482" s="4" t="str">
        <f aca="false">IF(L482="","",IF(L482&gt;0,"Win",IF(L482&lt;0,"Loss","Break Even")))</f>
        <v/>
      </c>
      <c r="P482" s="4"/>
      <c r="Q482" s="4"/>
      <c r="R482" s="4"/>
    </row>
    <row r="483" customFormat="false" ht="15" hidden="false" customHeight="false" outlineLevel="0" collapsed="false">
      <c r="A483" s="9" t="str">
        <f aca="false">IF(B483&lt;&gt;"",ROW()-3,"")</f>
        <v/>
      </c>
      <c r="B483" s="10"/>
      <c r="C483" s="9" t="str">
        <f aca="false">IF(B483&lt;&gt;"",TEXT(B483,"DDDD"),"")</f>
        <v/>
      </c>
      <c r="D483" s="9"/>
      <c r="E483" s="9"/>
      <c r="F483" s="9"/>
      <c r="G483" s="9"/>
      <c r="H483" s="9"/>
      <c r="I483" s="9"/>
      <c r="J483" s="9"/>
      <c r="K483" s="11" t="str">
        <f aca="false">IF(AND(B483&lt;&gt;"",I483&lt;&gt;"",F483&lt;&gt;""),IF(E483="Long",(I483-F483)*20,(F483-I483)*20),"")</f>
        <v/>
      </c>
      <c r="L483" s="12" t="str">
        <f aca="false">IF(AND(K483&lt;&gt;"",J483&lt;&gt;""),K483*J483,"")</f>
        <v/>
      </c>
      <c r="M483" s="13" t="str">
        <f aca="false">IF(AND(F483&lt;&gt;"",G483&lt;&gt;"",H483&lt;&gt;""),IF(E483="Long",(H483-F483)/(F483-G483),(F483-H483)/(G483-F483)),"")</f>
        <v/>
      </c>
      <c r="N483" s="13" t="str">
        <f aca="false">IF(AND(F483&lt;&gt;"",G483&lt;&gt;"",I483&lt;&gt;""),IF(E483="Long",(I483-F483)/(F483-G483),(F483-I483)/(G483-F483)),"")</f>
        <v/>
      </c>
      <c r="O483" s="9" t="str">
        <f aca="false">IF(L483="","",IF(L483&gt;0,"Win",IF(L483&lt;0,"Loss","Break Even")))</f>
        <v/>
      </c>
      <c r="P483" s="9"/>
      <c r="Q483" s="9"/>
      <c r="R483" s="9"/>
    </row>
    <row r="484" customFormat="false" ht="15" hidden="false" customHeight="false" outlineLevel="0" collapsed="false">
      <c r="A484" s="4" t="str">
        <f aca="false">IF(B484&lt;&gt;"",ROW()-3,"")</f>
        <v/>
      </c>
      <c r="B484" s="5"/>
      <c r="C484" s="4" t="str">
        <f aca="false">IF(B484&lt;&gt;"",TEXT(B484,"DDDD"),"")</f>
        <v/>
      </c>
      <c r="D484" s="4"/>
      <c r="E484" s="4"/>
      <c r="F484" s="4"/>
      <c r="G484" s="4"/>
      <c r="H484" s="4"/>
      <c r="I484" s="4"/>
      <c r="J484" s="4"/>
      <c r="K484" s="6" t="str">
        <f aca="false">IF(AND(B484&lt;&gt;"",I484&lt;&gt;"",F484&lt;&gt;""),IF(E484="Long",(I484-F484)*20,(F484-I484)*20),"")</f>
        <v/>
      </c>
      <c r="L484" s="7" t="str">
        <f aca="false">IF(AND(K484&lt;&gt;"",J484&lt;&gt;""),K484*J484,"")</f>
        <v/>
      </c>
      <c r="M484" s="8" t="str">
        <f aca="false">IF(AND(F484&lt;&gt;"",G484&lt;&gt;"",H484&lt;&gt;""),IF(E484="Long",(H484-F484)/(F484-G484),(F484-H484)/(G484-F484)),"")</f>
        <v/>
      </c>
      <c r="N484" s="8" t="str">
        <f aca="false">IF(AND(F484&lt;&gt;"",G484&lt;&gt;"",I484&lt;&gt;""),IF(E484="Long",(I484-F484)/(F484-G484),(F484-I484)/(G484-F484)),"")</f>
        <v/>
      </c>
      <c r="O484" s="4" t="str">
        <f aca="false">IF(L484="","",IF(L484&gt;0,"Win",IF(L484&lt;0,"Loss","Break Even")))</f>
        <v/>
      </c>
      <c r="P484" s="4"/>
      <c r="Q484" s="4"/>
      <c r="R484" s="4"/>
    </row>
    <row r="485" customFormat="false" ht="15" hidden="false" customHeight="false" outlineLevel="0" collapsed="false">
      <c r="A485" s="9" t="str">
        <f aca="false">IF(B485&lt;&gt;"",ROW()-3,"")</f>
        <v/>
      </c>
      <c r="B485" s="10"/>
      <c r="C485" s="9" t="str">
        <f aca="false">IF(B485&lt;&gt;"",TEXT(B485,"DDDD"),"")</f>
        <v/>
      </c>
      <c r="D485" s="9"/>
      <c r="E485" s="9"/>
      <c r="F485" s="9"/>
      <c r="G485" s="9"/>
      <c r="H485" s="9"/>
      <c r="I485" s="9"/>
      <c r="J485" s="9"/>
      <c r="K485" s="11" t="str">
        <f aca="false">IF(AND(B485&lt;&gt;"",I485&lt;&gt;"",F485&lt;&gt;""),IF(E485="Long",(I485-F485)*20,(F485-I485)*20),"")</f>
        <v/>
      </c>
      <c r="L485" s="12" t="str">
        <f aca="false">IF(AND(K485&lt;&gt;"",J485&lt;&gt;""),K485*J485,"")</f>
        <v/>
      </c>
      <c r="M485" s="13" t="str">
        <f aca="false">IF(AND(F485&lt;&gt;"",G485&lt;&gt;"",H485&lt;&gt;""),IF(E485="Long",(H485-F485)/(F485-G485),(F485-H485)/(G485-F485)),"")</f>
        <v/>
      </c>
      <c r="N485" s="13" t="str">
        <f aca="false">IF(AND(F485&lt;&gt;"",G485&lt;&gt;"",I485&lt;&gt;""),IF(E485="Long",(I485-F485)/(F485-G485),(F485-I485)/(G485-F485)),"")</f>
        <v/>
      </c>
      <c r="O485" s="9" t="str">
        <f aca="false">IF(L485="","",IF(L485&gt;0,"Win",IF(L485&lt;0,"Loss","Break Even")))</f>
        <v/>
      </c>
      <c r="P485" s="9"/>
      <c r="Q485" s="9"/>
      <c r="R485" s="9"/>
    </row>
    <row r="486" customFormat="false" ht="15" hidden="false" customHeight="false" outlineLevel="0" collapsed="false">
      <c r="A486" s="4" t="str">
        <f aca="false">IF(B486&lt;&gt;"",ROW()-3,"")</f>
        <v/>
      </c>
      <c r="B486" s="5"/>
      <c r="C486" s="4" t="str">
        <f aca="false">IF(B486&lt;&gt;"",TEXT(B486,"DDDD"),"")</f>
        <v/>
      </c>
      <c r="D486" s="4"/>
      <c r="E486" s="4"/>
      <c r="F486" s="4"/>
      <c r="G486" s="4"/>
      <c r="H486" s="4"/>
      <c r="I486" s="4"/>
      <c r="J486" s="4"/>
      <c r="K486" s="6" t="str">
        <f aca="false">IF(AND(B486&lt;&gt;"",I486&lt;&gt;"",F486&lt;&gt;""),IF(E486="Long",(I486-F486)*20,(F486-I486)*20),"")</f>
        <v/>
      </c>
      <c r="L486" s="7" t="str">
        <f aca="false">IF(AND(K486&lt;&gt;"",J486&lt;&gt;""),K486*J486,"")</f>
        <v/>
      </c>
      <c r="M486" s="8" t="str">
        <f aca="false">IF(AND(F486&lt;&gt;"",G486&lt;&gt;"",H486&lt;&gt;""),IF(E486="Long",(H486-F486)/(F486-G486),(F486-H486)/(G486-F486)),"")</f>
        <v/>
      </c>
      <c r="N486" s="8" t="str">
        <f aca="false">IF(AND(F486&lt;&gt;"",G486&lt;&gt;"",I486&lt;&gt;""),IF(E486="Long",(I486-F486)/(F486-G486),(F486-I486)/(G486-F486)),"")</f>
        <v/>
      </c>
      <c r="O486" s="4" t="str">
        <f aca="false">IF(L486="","",IF(L486&gt;0,"Win",IF(L486&lt;0,"Loss","Break Even")))</f>
        <v/>
      </c>
      <c r="P486" s="4"/>
      <c r="Q486" s="4"/>
      <c r="R486" s="4"/>
    </row>
    <row r="487" customFormat="false" ht="15" hidden="false" customHeight="false" outlineLevel="0" collapsed="false">
      <c r="A487" s="9" t="str">
        <f aca="false">IF(B487&lt;&gt;"",ROW()-3,"")</f>
        <v/>
      </c>
      <c r="B487" s="10"/>
      <c r="C487" s="9" t="str">
        <f aca="false">IF(B487&lt;&gt;"",TEXT(B487,"DDDD"),"")</f>
        <v/>
      </c>
      <c r="D487" s="9"/>
      <c r="E487" s="9"/>
      <c r="F487" s="9"/>
      <c r="G487" s="9"/>
      <c r="H487" s="9"/>
      <c r="I487" s="9"/>
      <c r="J487" s="9"/>
      <c r="K487" s="11" t="str">
        <f aca="false">IF(AND(B487&lt;&gt;"",I487&lt;&gt;"",F487&lt;&gt;""),IF(E487="Long",(I487-F487)*20,(F487-I487)*20),"")</f>
        <v/>
      </c>
      <c r="L487" s="12" t="str">
        <f aca="false">IF(AND(K487&lt;&gt;"",J487&lt;&gt;""),K487*J487,"")</f>
        <v/>
      </c>
      <c r="M487" s="13" t="str">
        <f aca="false">IF(AND(F487&lt;&gt;"",G487&lt;&gt;"",H487&lt;&gt;""),IF(E487="Long",(H487-F487)/(F487-G487),(F487-H487)/(G487-F487)),"")</f>
        <v/>
      </c>
      <c r="N487" s="13" t="str">
        <f aca="false">IF(AND(F487&lt;&gt;"",G487&lt;&gt;"",I487&lt;&gt;""),IF(E487="Long",(I487-F487)/(F487-G487),(F487-I487)/(G487-F487)),"")</f>
        <v/>
      </c>
      <c r="O487" s="9" t="str">
        <f aca="false">IF(L487="","",IF(L487&gt;0,"Win",IF(L487&lt;0,"Loss","Break Even")))</f>
        <v/>
      </c>
      <c r="P487" s="9"/>
      <c r="Q487" s="9"/>
      <c r="R487" s="9"/>
    </row>
    <row r="488" customFormat="false" ht="15" hidden="false" customHeight="false" outlineLevel="0" collapsed="false">
      <c r="A488" s="4" t="str">
        <f aca="false">IF(B488&lt;&gt;"",ROW()-3,"")</f>
        <v/>
      </c>
      <c r="B488" s="5"/>
      <c r="C488" s="4" t="str">
        <f aca="false">IF(B488&lt;&gt;"",TEXT(B488,"DDDD"),"")</f>
        <v/>
      </c>
      <c r="D488" s="4"/>
      <c r="E488" s="4"/>
      <c r="F488" s="4"/>
      <c r="G488" s="4"/>
      <c r="H488" s="4"/>
      <c r="I488" s="4"/>
      <c r="J488" s="4"/>
      <c r="K488" s="6" t="str">
        <f aca="false">IF(AND(B488&lt;&gt;"",I488&lt;&gt;"",F488&lt;&gt;""),IF(E488="Long",(I488-F488)*20,(F488-I488)*20),"")</f>
        <v/>
      </c>
      <c r="L488" s="7" t="str">
        <f aca="false">IF(AND(K488&lt;&gt;"",J488&lt;&gt;""),K488*J488,"")</f>
        <v/>
      </c>
      <c r="M488" s="8" t="str">
        <f aca="false">IF(AND(F488&lt;&gt;"",G488&lt;&gt;"",H488&lt;&gt;""),IF(E488="Long",(H488-F488)/(F488-G488),(F488-H488)/(G488-F488)),"")</f>
        <v/>
      </c>
      <c r="N488" s="8" t="str">
        <f aca="false">IF(AND(F488&lt;&gt;"",G488&lt;&gt;"",I488&lt;&gt;""),IF(E488="Long",(I488-F488)/(F488-G488),(F488-I488)/(G488-F488)),"")</f>
        <v/>
      </c>
      <c r="O488" s="4" t="str">
        <f aca="false">IF(L488="","",IF(L488&gt;0,"Win",IF(L488&lt;0,"Loss","Break Even")))</f>
        <v/>
      </c>
      <c r="P488" s="4"/>
      <c r="Q488" s="4"/>
      <c r="R488" s="4"/>
    </row>
    <row r="489" customFormat="false" ht="15" hidden="false" customHeight="false" outlineLevel="0" collapsed="false">
      <c r="A489" s="9" t="str">
        <f aca="false">IF(B489&lt;&gt;"",ROW()-3,"")</f>
        <v/>
      </c>
      <c r="B489" s="10"/>
      <c r="C489" s="9" t="str">
        <f aca="false">IF(B489&lt;&gt;"",TEXT(B489,"DDDD"),"")</f>
        <v/>
      </c>
      <c r="D489" s="9"/>
      <c r="E489" s="9"/>
      <c r="F489" s="9"/>
      <c r="G489" s="9"/>
      <c r="H489" s="9"/>
      <c r="I489" s="9"/>
      <c r="J489" s="9"/>
      <c r="K489" s="11" t="str">
        <f aca="false">IF(AND(B489&lt;&gt;"",I489&lt;&gt;"",F489&lt;&gt;""),IF(E489="Long",(I489-F489)*20,(F489-I489)*20),"")</f>
        <v/>
      </c>
      <c r="L489" s="12" t="str">
        <f aca="false">IF(AND(K489&lt;&gt;"",J489&lt;&gt;""),K489*J489,"")</f>
        <v/>
      </c>
      <c r="M489" s="13" t="str">
        <f aca="false">IF(AND(F489&lt;&gt;"",G489&lt;&gt;"",H489&lt;&gt;""),IF(E489="Long",(H489-F489)/(F489-G489),(F489-H489)/(G489-F489)),"")</f>
        <v/>
      </c>
      <c r="N489" s="13" t="str">
        <f aca="false">IF(AND(F489&lt;&gt;"",G489&lt;&gt;"",I489&lt;&gt;""),IF(E489="Long",(I489-F489)/(F489-G489),(F489-I489)/(G489-F489)),"")</f>
        <v/>
      </c>
      <c r="O489" s="9" t="str">
        <f aca="false">IF(L489="","",IF(L489&gt;0,"Win",IF(L489&lt;0,"Loss","Break Even")))</f>
        <v/>
      </c>
      <c r="P489" s="9"/>
      <c r="Q489" s="9"/>
      <c r="R489" s="9"/>
    </row>
    <row r="490" customFormat="false" ht="15" hidden="false" customHeight="false" outlineLevel="0" collapsed="false">
      <c r="A490" s="4" t="str">
        <f aca="false">IF(B490&lt;&gt;"",ROW()-3,"")</f>
        <v/>
      </c>
      <c r="B490" s="5"/>
      <c r="C490" s="4" t="str">
        <f aca="false">IF(B490&lt;&gt;"",TEXT(B490,"DDDD"),"")</f>
        <v/>
      </c>
      <c r="D490" s="4"/>
      <c r="E490" s="4"/>
      <c r="F490" s="4"/>
      <c r="G490" s="4"/>
      <c r="H490" s="4"/>
      <c r="I490" s="4"/>
      <c r="J490" s="4"/>
      <c r="K490" s="6" t="str">
        <f aca="false">IF(AND(B490&lt;&gt;"",I490&lt;&gt;"",F490&lt;&gt;""),IF(E490="Long",(I490-F490)*20,(F490-I490)*20),"")</f>
        <v/>
      </c>
      <c r="L490" s="7" t="str">
        <f aca="false">IF(AND(K490&lt;&gt;"",J490&lt;&gt;""),K490*J490,"")</f>
        <v/>
      </c>
      <c r="M490" s="8" t="str">
        <f aca="false">IF(AND(F490&lt;&gt;"",G490&lt;&gt;"",H490&lt;&gt;""),IF(E490="Long",(H490-F490)/(F490-G490),(F490-H490)/(G490-F490)),"")</f>
        <v/>
      </c>
      <c r="N490" s="8" t="str">
        <f aca="false">IF(AND(F490&lt;&gt;"",G490&lt;&gt;"",I490&lt;&gt;""),IF(E490="Long",(I490-F490)/(F490-G490),(F490-I490)/(G490-F490)),"")</f>
        <v/>
      </c>
      <c r="O490" s="4" t="str">
        <f aca="false">IF(L490="","",IF(L490&gt;0,"Win",IF(L490&lt;0,"Loss","Break Even")))</f>
        <v/>
      </c>
      <c r="P490" s="4"/>
      <c r="Q490" s="4"/>
      <c r="R490" s="4"/>
    </row>
    <row r="491" customFormat="false" ht="15" hidden="false" customHeight="false" outlineLevel="0" collapsed="false">
      <c r="A491" s="9" t="str">
        <f aca="false">IF(B491&lt;&gt;"",ROW()-3,"")</f>
        <v/>
      </c>
      <c r="B491" s="10"/>
      <c r="C491" s="9" t="str">
        <f aca="false">IF(B491&lt;&gt;"",TEXT(B491,"DDDD"),"")</f>
        <v/>
      </c>
      <c r="D491" s="9"/>
      <c r="E491" s="9"/>
      <c r="F491" s="9"/>
      <c r="G491" s="9"/>
      <c r="H491" s="9"/>
      <c r="I491" s="9"/>
      <c r="J491" s="9"/>
      <c r="K491" s="11" t="str">
        <f aca="false">IF(AND(B491&lt;&gt;"",I491&lt;&gt;"",F491&lt;&gt;""),IF(E491="Long",(I491-F491)*20,(F491-I491)*20),"")</f>
        <v/>
      </c>
      <c r="L491" s="12" t="str">
        <f aca="false">IF(AND(K491&lt;&gt;"",J491&lt;&gt;""),K491*J491,"")</f>
        <v/>
      </c>
      <c r="M491" s="13" t="str">
        <f aca="false">IF(AND(F491&lt;&gt;"",G491&lt;&gt;"",H491&lt;&gt;""),IF(E491="Long",(H491-F491)/(F491-G491),(F491-H491)/(G491-F491)),"")</f>
        <v/>
      </c>
      <c r="N491" s="13" t="str">
        <f aca="false">IF(AND(F491&lt;&gt;"",G491&lt;&gt;"",I491&lt;&gt;""),IF(E491="Long",(I491-F491)/(F491-G491),(F491-I491)/(G491-F491)),"")</f>
        <v/>
      </c>
      <c r="O491" s="9" t="str">
        <f aca="false">IF(L491="","",IF(L491&gt;0,"Win",IF(L491&lt;0,"Loss","Break Even")))</f>
        <v/>
      </c>
      <c r="P491" s="9"/>
      <c r="Q491" s="9"/>
      <c r="R491" s="9"/>
    </row>
    <row r="492" customFormat="false" ht="15" hidden="false" customHeight="false" outlineLevel="0" collapsed="false">
      <c r="A492" s="4" t="str">
        <f aca="false">IF(B492&lt;&gt;"",ROW()-3,"")</f>
        <v/>
      </c>
      <c r="B492" s="5"/>
      <c r="C492" s="4" t="str">
        <f aca="false">IF(B492&lt;&gt;"",TEXT(B492,"DDDD"),"")</f>
        <v/>
      </c>
      <c r="D492" s="4"/>
      <c r="E492" s="4"/>
      <c r="F492" s="4"/>
      <c r="G492" s="4"/>
      <c r="H492" s="4"/>
      <c r="I492" s="4"/>
      <c r="J492" s="4"/>
      <c r="K492" s="6" t="str">
        <f aca="false">IF(AND(B492&lt;&gt;"",I492&lt;&gt;"",F492&lt;&gt;""),IF(E492="Long",(I492-F492)*20,(F492-I492)*20),"")</f>
        <v/>
      </c>
      <c r="L492" s="7" t="str">
        <f aca="false">IF(AND(K492&lt;&gt;"",J492&lt;&gt;""),K492*J492,"")</f>
        <v/>
      </c>
      <c r="M492" s="8" t="str">
        <f aca="false">IF(AND(F492&lt;&gt;"",G492&lt;&gt;"",H492&lt;&gt;""),IF(E492="Long",(H492-F492)/(F492-G492),(F492-H492)/(G492-F492)),"")</f>
        <v/>
      </c>
      <c r="N492" s="8" t="str">
        <f aca="false">IF(AND(F492&lt;&gt;"",G492&lt;&gt;"",I492&lt;&gt;""),IF(E492="Long",(I492-F492)/(F492-G492),(F492-I492)/(G492-F492)),"")</f>
        <v/>
      </c>
      <c r="O492" s="4" t="str">
        <f aca="false">IF(L492="","",IF(L492&gt;0,"Win",IF(L492&lt;0,"Loss","Break Even")))</f>
        <v/>
      </c>
      <c r="P492" s="4"/>
      <c r="Q492" s="4"/>
      <c r="R492" s="4"/>
    </row>
    <row r="493" customFormat="false" ht="15" hidden="false" customHeight="false" outlineLevel="0" collapsed="false">
      <c r="A493" s="9" t="str">
        <f aca="false">IF(B493&lt;&gt;"",ROW()-3,"")</f>
        <v/>
      </c>
      <c r="B493" s="10"/>
      <c r="C493" s="9" t="str">
        <f aca="false">IF(B493&lt;&gt;"",TEXT(B493,"DDDD"),"")</f>
        <v/>
      </c>
      <c r="D493" s="9"/>
      <c r="E493" s="9"/>
      <c r="F493" s="9"/>
      <c r="G493" s="9"/>
      <c r="H493" s="9"/>
      <c r="I493" s="9"/>
      <c r="J493" s="9"/>
      <c r="K493" s="11" t="str">
        <f aca="false">IF(AND(B493&lt;&gt;"",I493&lt;&gt;"",F493&lt;&gt;""),IF(E493="Long",(I493-F493)*20,(F493-I493)*20),"")</f>
        <v/>
      </c>
      <c r="L493" s="12" t="str">
        <f aca="false">IF(AND(K493&lt;&gt;"",J493&lt;&gt;""),K493*J493,"")</f>
        <v/>
      </c>
      <c r="M493" s="13" t="str">
        <f aca="false">IF(AND(F493&lt;&gt;"",G493&lt;&gt;"",H493&lt;&gt;""),IF(E493="Long",(H493-F493)/(F493-G493),(F493-H493)/(G493-F493)),"")</f>
        <v/>
      </c>
      <c r="N493" s="13" t="str">
        <f aca="false">IF(AND(F493&lt;&gt;"",G493&lt;&gt;"",I493&lt;&gt;""),IF(E493="Long",(I493-F493)/(F493-G493),(F493-I493)/(G493-F493)),"")</f>
        <v/>
      </c>
      <c r="O493" s="9" t="str">
        <f aca="false">IF(L493="","",IF(L493&gt;0,"Win",IF(L493&lt;0,"Loss","Break Even")))</f>
        <v/>
      </c>
      <c r="P493" s="9"/>
      <c r="Q493" s="9"/>
      <c r="R493" s="9"/>
    </row>
    <row r="494" customFormat="false" ht="15" hidden="false" customHeight="false" outlineLevel="0" collapsed="false">
      <c r="A494" s="4" t="str">
        <f aca="false">IF(B494&lt;&gt;"",ROW()-3,"")</f>
        <v/>
      </c>
      <c r="B494" s="5"/>
      <c r="C494" s="4" t="str">
        <f aca="false">IF(B494&lt;&gt;"",TEXT(B494,"DDDD"),"")</f>
        <v/>
      </c>
      <c r="D494" s="4"/>
      <c r="E494" s="4"/>
      <c r="F494" s="4"/>
      <c r="G494" s="4"/>
      <c r="H494" s="4"/>
      <c r="I494" s="4"/>
      <c r="J494" s="4"/>
      <c r="K494" s="6" t="str">
        <f aca="false">IF(AND(B494&lt;&gt;"",I494&lt;&gt;"",F494&lt;&gt;""),IF(E494="Long",(I494-F494)*20,(F494-I494)*20),"")</f>
        <v/>
      </c>
      <c r="L494" s="7" t="str">
        <f aca="false">IF(AND(K494&lt;&gt;"",J494&lt;&gt;""),K494*J494,"")</f>
        <v/>
      </c>
      <c r="M494" s="8" t="str">
        <f aca="false">IF(AND(F494&lt;&gt;"",G494&lt;&gt;"",H494&lt;&gt;""),IF(E494="Long",(H494-F494)/(F494-G494),(F494-H494)/(G494-F494)),"")</f>
        <v/>
      </c>
      <c r="N494" s="8" t="str">
        <f aca="false">IF(AND(F494&lt;&gt;"",G494&lt;&gt;"",I494&lt;&gt;""),IF(E494="Long",(I494-F494)/(F494-G494),(F494-I494)/(G494-F494)),"")</f>
        <v/>
      </c>
      <c r="O494" s="4" t="str">
        <f aca="false">IF(L494="","",IF(L494&gt;0,"Win",IF(L494&lt;0,"Loss","Break Even")))</f>
        <v/>
      </c>
      <c r="P494" s="4"/>
      <c r="Q494" s="4"/>
      <c r="R494" s="4"/>
    </row>
    <row r="495" customFormat="false" ht="15" hidden="false" customHeight="false" outlineLevel="0" collapsed="false">
      <c r="A495" s="9" t="str">
        <f aca="false">IF(B495&lt;&gt;"",ROW()-3,"")</f>
        <v/>
      </c>
      <c r="B495" s="10"/>
      <c r="C495" s="9" t="str">
        <f aca="false">IF(B495&lt;&gt;"",TEXT(B495,"DDDD"),"")</f>
        <v/>
      </c>
      <c r="D495" s="9"/>
      <c r="E495" s="9"/>
      <c r="F495" s="9"/>
      <c r="G495" s="9"/>
      <c r="H495" s="9"/>
      <c r="I495" s="9"/>
      <c r="J495" s="9"/>
      <c r="K495" s="11" t="str">
        <f aca="false">IF(AND(B495&lt;&gt;"",I495&lt;&gt;"",F495&lt;&gt;""),IF(E495="Long",(I495-F495)*20,(F495-I495)*20),"")</f>
        <v/>
      </c>
      <c r="L495" s="12" t="str">
        <f aca="false">IF(AND(K495&lt;&gt;"",J495&lt;&gt;""),K495*J495,"")</f>
        <v/>
      </c>
      <c r="M495" s="13" t="str">
        <f aca="false">IF(AND(F495&lt;&gt;"",G495&lt;&gt;"",H495&lt;&gt;""),IF(E495="Long",(H495-F495)/(F495-G495),(F495-H495)/(G495-F495)),"")</f>
        <v/>
      </c>
      <c r="N495" s="13" t="str">
        <f aca="false">IF(AND(F495&lt;&gt;"",G495&lt;&gt;"",I495&lt;&gt;""),IF(E495="Long",(I495-F495)/(F495-G495),(F495-I495)/(G495-F495)),"")</f>
        <v/>
      </c>
      <c r="O495" s="9" t="str">
        <f aca="false">IF(L495="","",IF(L495&gt;0,"Win",IF(L495&lt;0,"Loss","Break Even")))</f>
        <v/>
      </c>
      <c r="P495" s="9"/>
      <c r="Q495" s="9"/>
      <c r="R495" s="9"/>
    </row>
    <row r="496" customFormat="false" ht="15" hidden="false" customHeight="false" outlineLevel="0" collapsed="false">
      <c r="A496" s="4" t="str">
        <f aca="false">IF(B496&lt;&gt;"",ROW()-3,"")</f>
        <v/>
      </c>
      <c r="B496" s="5"/>
      <c r="C496" s="4" t="str">
        <f aca="false">IF(B496&lt;&gt;"",TEXT(B496,"DDDD"),"")</f>
        <v/>
      </c>
      <c r="D496" s="4"/>
      <c r="E496" s="4"/>
      <c r="F496" s="4"/>
      <c r="G496" s="4"/>
      <c r="H496" s="4"/>
      <c r="I496" s="4"/>
      <c r="J496" s="4"/>
      <c r="K496" s="6" t="str">
        <f aca="false">IF(AND(B496&lt;&gt;"",I496&lt;&gt;"",F496&lt;&gt;""),IF(E496="Long",(I496-F496)*20,(F496-I496)*20),"")</f>
        <v/>
      </c>
      <c r="L496" s="7" t="str">
        <f aca="false">IF(AND(K496&lt;&gt;"",J496&lt;&gt;""),K496*J496,"")</f>
        <v/>
      </c>
      <c r="M496" s="8" t="str">
        <f aca="false">IF(AND(F496&lt;&gt;"",G496&lt;&gt;"",H496&lt;&gt;""),IF(E496="Long",(H496-F496)/(F496-G496),(F496-H496)/(G496-F496)),"")</f>
        <v/>
      </c>
      <c r="N496" s="8" t="str">
        <f aca="false">IF(AND(F496&lt;&gt;"",G496&lt;&gt;"",I496&lt;&gt;""),IF(E496="Long",(I496-F496)/(F496-G496),(F496-I496)/(G496-F496)),"")</f>
        <v/>
      </c>
      <c r="O496" s="4" t="str">
        <f aca="false">IF(L496="","",IF(L496&gt;0,"Win",IF(L496&lt;0,"Loss","Break Even")))</f>
        <v/>
      </c>
      <c r="P496" s="4"/>
      <c r="Q496" s="4"/>
      <c r="R496" s="4"/>
    </row>
    <row r="497" customFormat="false" ht="15" hidden="false" customHeight="false" outlineLevel="0" collapsed="false">
      <c r="A497" s="9" t="str">
        <f aca="false">IF(B497&lt;&gt;"",ROW()-3,"")</f>
        <v/>
      </c>
      <c r="B497" s="10"/>
      <c r="C497" s="9" t="str">
        <f aca="false">IF(B497&lt;&gt;"",TEXT(B497,"DDDD"),"")</f>
        <v/>
      </c>
      <c r="D497" s="9"/>
      <c r="E497" s="9"/>
      <c r="F497" s="9"/>
      <c r="G497" s="9"/>
      <c r="H497" s="9"/>
      <c r="I497" s="9"/>
      <c r="J497" s="9"/>
      <c r="K497" s="11" t="str">
        <f aca="false">IF(AND(B497&lt;&gt;"",I497&lt;&gt;"",F497&lt;&gt;""),IF(E497="Long",(I497-F497)*20,(F497-I497)*20),"")</f>
        <v/>
      </c>
      <c r="L497" s="12" t="str">
        <f aca="false">IF(AND(K497&lt;&gt;"",J497&lt;&gt;""),K497*J497,"")</f>
        <v/>
      </c>
      <c r="M497" s="13" t="str">
        <f aca="false">IF(AND(F497&lt;&gt;"",G497&lt;&gt;"",H497&lt;&gt;""),IF(E497="Long",(H497-F497)/(F497-G497),(F497-H497)/(G497-F497)),"")</f>
        <v/>
      </c>
      <c r="N497" s="13" t="str">
        <f aca="false">IF(AND(F497&lt;&gt;"",G497&lt;&gt;"",I497&lt;&gt;""),IF(E497="Long",(I497-F497)/(F497-G497),(F497-I497)/(G497-F497)),"")</f>
        <v/>
      </c>
      <c r="O497" s="9" t="str">
        <f aca="false">IF(L497="","",IF(L497&gt;0,"Win",IF(L497&lt;0,"Loss","Break Even")))</f>
        <v/>
      </c>
      <c r="P497" s="9"/>
      <c r="Q497" s="9"/>
      <c r="R497" s="9"/>
    </row>
    <row r="498" customFormat="false" ht="15" hidden="false" customHeight="false" outlineLevel="0" collapsed="false">
      <c r="A498" s="4" t="str">
        <f aca="false">IF(B498&lt;&gt;"",ROW()-3,"")</f>
        <v/>
      </c>
      <c r="B498" s="5"/>
      <c r="C498" s="4" t="str">
        <f aca="false">IF(B498&lt;&gt;"",TEXT(B498,"DDDD"),"")</f>
        <v/>
      </c>
      <c r="D498" s="4"/>
      <c r="E498" s="4"/>
      <c r="F498" s="4"/>
      <c r="G498" s="4"/>
      <c r="H498" s="4"/>
      <c r="I498" s="4"/>
      <c r="J498" s="4"/>
      <c r="K498" s="6" t="str">
        <f aca="false">IF(AND(B498&lt;&gt;"",I498&lt;&gt;"",F498&lt;&gt;""),IF(E498="Long",(I498-F498)*20,(F498-I498)*20),"")</f>
        <v/>
      </c>
      <c r="L498" s="7" t="str">
        <f aca="false">IF(AND(K498&lt;&gt;"",J498&lt;&gt;""),K498*J498,"")</f>
        <v/>
      </c>
      <c r="M498" s="8" t="str">
        <f aca="false">IF(AND(F498&lt;&gt;"",G498&lt;&gt;"",H498&lt;&gt;""),IF(E498="Long",(H498-F498)/(F498-G498),(F498-H498)/(G498-F498)),"")</f>
        <v/>
      </c>
      <c r="N498" s="8" t="str">
        <f aca="false">IF(AND(F498&lt;&gt;"",G498&lt;&gt;"",I498&lt;&gt;""),IF(E498="Long",(I498-F498)/(F498-G498),(F498-I498)/(G498-F498)),"")</f>
        <v/>
      </c>
      <c r="O498" s="4" t="str">
        <f aca="false">IF(L498="","",IF(L498&gt;0,"Win",IF(L498&lt;0,"Loss","Break Even")))</f>
        <v/>
      </c>
      <c r="P498" s="4"/>
      <c r="Q498" s="4"/>
      <c r="R498" s="4"/>
    </row>
    <row r="499" customFormat="false" ht="15" hidden="false" customHeight="false" outlineLevel="0" collapsed="false">
      <c r="A499" s="9" t="str">
        <f aca="false">IF(B499&lt;&gt;"",ROW()-3,"")</f>
        <v/>
      </c>
      <c r="B499" s="10"/>
      <c r="C499" s="9" t="str">
        <f aca="false">IF(B499&lt;&gt;"",TEXT(B499,"DDDD"),"")</f>
        <v/>
      </c>
      <c r="D499" s="9"/>
      <c r="E499" s="9"/>
      <c r="F499" s="9"/>
      <c r="G499" s="9"/>
      <c r="H499" s="9"/>
      <c r="I499" s="9"/>
      <c r="J499" s="9"/>
      <c r="K499" s="11" t="str">
        <f aca="false">IF(AND(B499&lt;&gt;"",I499&lt;&gt;"",F499&lt;&gt;""),IF(E499="Long",(I499-F499)*20,(F499-I499)*20),"")</f>
        <v/>
      </c>
      <c r="L499" s="12" t="str">
        <f aca="false">IF(AND(K499&lt;&gt;"",J499&lt;&gt;""),K499*J499,"")</f>
        <v/>
      </c>
      <c r="M499" s="13" t="str">
        <f aca="false">IF(AND(F499&lt;&gt;"",G499&lt;&gt;"",H499&lt;&gt;""),IF(E499="Long",(H499-F499)/(F499-G499),(F499-H499)/(G499-F499)),"")</f>
        <v/>
      </c>
      <c r="N499" s="13" t="str">
        <f aca="false">IF(AND(F499&lt;&gt;"",G499&lt;&gt;"",I499&lt;&gt;""),IF(E499="Long",(I499-F499)/(F499-G499),(F499-I499)/(G499-F499)),"")</f>
        <v/>
      </c>
      <c r="O499" s="9" t="str">
        <f aca="false">IF(L499="","",IF(L499&gt;0,"Win",IF(L499&lt;0,"Loss","Break Even")))</f>
        <v/>
      </c>
      <c r="P499" s="9"/>
      <c r="Q499" s="9"/>
      <c r="R499" s="9"/>
    </row>
    <row r="500" customFormat="false" ht="15" hidden="false" customHeight="false" outlineLevel="0" collapsed="false">
      <c r="A500" s="4" t="str">
        <f aca="false">IF(B500&lt;&gt;"",ROW()-3,"")</f>
        <v/>
      </c>
      <c r="B500" s="5"/>
      <c r="C500" s="4" t="str">
        <f aca="false">IF(B500&lt;&gt;"",TEXT(B500,"DDDD"),"")</f>
        <v/>
      </c>
      <c r="D500" s="4"/>
      <c r="E500" s="4"/>
      <c r="F500" s="4"/>
      <c r="G500" s="4"/>
      <c r="H500" s="4"/>
      <c r="I500" s="4"/>
      <c r="J500" s="4"/>
      <c r="K500" s="6" t="str">
        <f aca="false">IF(AND(B500&lt;&gt;"",I500&lt;&gt;"",F500&lt;&gt;""),IF(E500="Long",(I500-F500)*20,(F500-I500)*20),"")</f>
        <v/>
      </c>
      <c r="L500" s="7" t="str">
        <f aca="false">IF(AND(K500&lt;&gt;"",J500&lt;&gt;""),K500*J500,"")</f>
        <v/>
      </c>
      <c r="M500" s="8" t="str">
        <f aca="false">IF(AND(F500&lt;&gt;"",G500&lt;&gt;"",H500&lt;&gt;""),IF(E500="Long",(H500-F500)/(F500-G500),(F500-H500)/(G500-F500)),"")</f>
        <v/>
      </c>
      <c r="N500" s="8" t="str">
        <f aca="false">IF(AND(F500&lt;&gt;"",G500&lt;&gt;"",I500&lt;&gt;""),IF(E500="Long",(I500-F500)/(F500-G500),(F500-I500)/(G500-F500)),"")</f>
        <v/>
      </c>
      <c r="O500" s="4" t="str">
        <f aca="false">IF(L500="","",IF(L500&gt;0,"Win",IF(L500&lt;0,"Loss","Break Even")))</f>
        <v/>
      </c>
      <c r="P500" s="4"/>
      <c r="Q500" s="4"/>
      <c r="R500" s="4"/>
    </row>
    <row r="501" customFormat="false" ht="15" hidden="false" customHeight="false" outlineLevel="0" collapsed="false">
      <c r="A501" s="9" t="str">
        <f aca="false">IF(B501&lt;&gt;"",ROW()-3,"")</f>
        <v/>
      </c>
      <c r="B501" s="10"/>
      <c r="C501" s="9" t="str">
        <f aca="false">IF(B501&lt;&gt;"",TEXT(B501,"DDDD"),"")</f>
        <v/>
      </c>
      <c r="D501" s="9"/>
      <c r="E501" s="9"/>
      <c r="F501" s="9"/>
      <c r="G501" s="9"/>
      <c r="H501" s="9"/>
      <c r="I501" s="9"/>
      <c r="J501" s="9"/>
      <c r="K501" s="11" t="str">
        <f aca="false">IF(AND(B501&lt;&gt;"",I501&lt;&gt;"",F501&lt;&gt;""),IF(E501="Long",(I501-F501)*20,(F501-I501)*20),"")</f>
        <v/>
      </c>
      <c r="L501" s="12" t="str">
        <f aca="false">IF(AND(K501&lt;&gt;"",J501&lt;&gt;""),K501*J501,"")</f>
        <v/>
      </c>
      <c r="M501" s="13" t="str">
        <f aca="false">IF(AND(F501&lt;&gt;"",G501&lt;&gt;"",H501&lt;&gt;""),IF(E501="Long",(H501-F501)/(F501-G501),(F501-H501)/(G501-F501)),"")</f>
        <v/>
      </c>
      <c r="N501" s="13" t="str">
        <f aca="false">IF(AND(F501&lt;&gt;"",G501&lt;&gt;"",I501&lt;&gt;""),IF(E501="Long",(I501-F501)/(F501-G501),(F501-I501)/(G501-F501)),"")</f>
        <v/>
      </c>
      <c r="O501" s="9" t="str">
        <f aca="false">IF(L501="","",IF(L501&gt;0,"Win",IF(L501&lt;0,"Loss","Break Even")))</f>
        <v/>
      </c>
      <c r="P501" s="9"/>
      <c r="Q501" s="9"/>
      <c r="R501" s="9"/>
    </row>
    <row r="502" customFormat="false" ht="15" hidden="false" customHeight="false" outlineLevel="0" collapsed="false">
      <c r="A502" s="4" t="str">
        <f aca="false">IF(B502&lt;&gt;"",ROW()-3,"")</f>
        <v/>
      </c>
      <c r="B502" s="5"/>
      <c r="C502" s="4" t="str">
        <f aca="false">IF(B502&lt;&gt;"",TEXT(B502,"DDDD"),"")</f>
        <v/>
      </c>
      <c r="D502" s="4"/>
      <c r="E502" s="4"/>
      <c r="F502" s="4"/>
      <c r="G502" s="4"/>
      <c r="H502" s="4"/>
      <c r="I502" s="4"/>
      <c r="J502" s="4"/>
      <c r="K502" s="6" t="str">
        <f aca="false">IF(AND(B502&lt;&gt;"",I502&lt;&gt;"",F502&lt;&gt;""),IF(E502="Long",(I502-F502)*20,(F502-I502)*20),"")</f>
        <v/>
      </c>
      <c r="L502" s="7" t="str">
        <f aca="false">IF(AND(K502&lt;&gt;"",J502&lt;&gt;""),K502*J502,"")</f>
        <v/>
      </c>
      <c r="M502" s="8" t="str">
        <f aca="false">IF(AND(F502&lt;&gt;"",G502&lt;&gt;"",H502&lt;&gt;""),IF(E502="Long",(H502-F502)/(F502-G502),(F502-H502)/(G502-F502)),"")</f>
        <v/>
      </c>
      <c r="N502" s="8" t="str">
        <f aca="false">IF(AND(F502&lt;&gt;"",G502&lt;&gt;"",I502&lt;&gt;""),IF(E502="Long",(I502-F502)/(F502-G502),(F502-I502)/(G502-F502)),"")</f>
        <v/>
      </c>
      <c r="O502" s="4" t="str">
        <f aca="false">IF(L502="","",IF(L502&gt;0,"Win",IF(L502&lt;0,"Loss","Break Even")))</f>
        <v/>
      </c>
      <c r="P502" s="4"/>
      <c r="Q502" s="4"/>
      <c r="R502" s="4"/>
    </row>
    <row r="503" customFormat="false" ht="15" hidden="false" customHeight="false" outlineLevel="0" collapsed="false">
      <c r="A503" s="9" t="str">
        <f aca="false">IF(B503&lt;&gt;"",ROW()-3,"")</f>
        <v/>
      </c>
      <c r="B503" s="10"/>
      <c r="C503" s="9" t="str">
        <f aca="false">IF(B503&lt;&gt;"",TEXT(B503,"DDDD"),"")</f>
        <v/>
      </c>
      <c r="D503" s="9"/>
      <c r="E503" s="9"/>
      <c r="F503" s="9"/>
      <c r="G503" s="9"/>
      <c r="H503" s="9"/>
      <c r="I503" s="9"/>
      <c r="J503" s="9"/>
      <c r="K503" s="11" t="str">
        <f aca="false">IF(AND(B503&lt;&gt;"",I503&lt;&gt;"",F503&lt;&gt;""),IF(E503="Long",(I503-F503)*20,(F503-I503)*20),"")</f>
        <v/>
      </c>
      <c r="L503" s="12" t="str">
        <f aca="false">IF(AND(K503&lt;&gt;"",J503&lt;&gt;""),K503*J503,"")</f>
        <v/>
      </c>
      <c r="M503" s="13" t="str">
        <f aca="false">IF(AND(F503&lt;&gt;"",G503&lt;&gt;"",H503&lt;&gt;""),IF(E503="Long",(H503-F503)/(F503-G503),(F503-H503)/(G503-F503)),"")</f>
        <v/>
      </c>
      <c r="N503" s="13" t="str">
        <f aca="false">IF(AND(F503&lt;&gt;"",G503&lt;&gt;"",I503&lt;&gt;""),IF(E503="Long",(I503-F503)/(F503-G503),(F503-I503)/(G503-F503)),"")</f>
        <v/>
      </c>
      <c r="O503" s="9" t="str">
        <f aca="false">IF(L503="","",IF(L503&gt;0,"Win",IF(L503&lt;0,"Loss","Break Even")))</f>
        <v/>
      </c>
      <c r="P503" s="9"/>
      <c r="Q503" s="9"/>
      <c r="R503" s="9"/>
    </row>
  </sheetData>
  <mergeCells count="2">
    <mergeCell ref="A1:R1"/>
    <mergeCell ref="A2:R2"/>
  </mergeCells>
  <conditionalFormatting sqref="O4:O503">
    <cfRule type="cellIs" priority="2" operator="equal" aboveAverage="0" equalAverage="0" bottom="0" percent="0" rank="0" text="" dxfId="0">
      <formula>"Win"</formula>
    </cfRule>
    <cfRule type="cellIs" priority="3" operator="equal" aboveAverage="0" equalAverage="0" bottom="0" percent="0" rank="0" text="" dxfId="1">
      <formula>"Loss"</formula>
    </cfRule>
  </conditionalFormatting>
  <conditionalFormatting sqref="L4:L503">
    <cfRule type="cellIs" priority="4" operator="greaterThan" aboveAverage="0" equalAverage="0" bottom="0" percent="0" rank="0" text="" dxfId="2">
      <formula>0</formula>
    </cfRule>
    <cfRule type="cellIs" priority="5" operator="less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5" min="3" style="0" width="10"/>
    <col collapsed="false" customWidth="true" hidden="false" outlineLevel="0" max="7" min="6" style="0" width="14"/>
  </cols>
  <sheetData>
    <row r="1" customFormat="false" ht="36" hidden="false" customHeight="true" outlineLevel="0" collapsed="false">
      <c r="A1" s="14" t="s">
        <v>20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3" customFormat="false" ht="26.85" hidden="false" customHeight="true" outlineLevel="0" collapsed="false">
      <c r="A3" s="15" t="s">
        <v>21</v>
      </c>
      <c r="B3" s="15"/>
      <c r="D3" s="15" t="s">
        <v>22</v>
      </c>
      <c r="E3" s="15"/>
    </row>
    <row r="4" customFormat="false" ht="15" hidden="false" customHeight="false" outlineLevel="0" collapsed="false">
      <c r="A4" s="16" t="s">
        <v>23</v>
      </c>
      <c r="B4" s="17" t="n">
        <f aca="false">COUNTA('📋 Trade Log'!O4:O503)</f>
        <v>500</v>
      </c>
      <c r="D4" s="16" t="s">
        <v>24</v>
      </c>
      <c r="E4" s="18" t="n">
        <f aca="false">IFERROR(AVERAGE('📋 Trade Log'!M4:M503),0)</f>
        <v>0</v>
      </c>
    </row>
    <row r="5" customFormat="false" ht="15" hidden="false" customHeight="false" outlineLevel="0" collapsed="false">
      <c r="A5" s="16" t="s">
        <v>25</v>
      </c>
      <c r="B5" s="17" t="n">
        <f aca="false">COUNTIF('📋 Trade Log'!O4:O503,"Win")</f>
        <v>0</v>
      </c>
      <c r="D5" s="16" t="s">
        <v>26</v>
      </c>
      <c r="E5" s="18" t="n">
        <f aca="false">IFERROR(AVERAGEIF('📋 Trade Log'!O4:O503,"Win",'📋 Trade Log'!N4:N503),0)</f>
        <v>0</v>
      </c>
    </row>
    <row r="6" customFormat="false" ht="15" hidden="false" customHeight="false" outlineLevel="0" collapsed="false">
      <c r="A6" s="16" t="s">
        <v>27</v>
      </c>
      <c r="B6" s="17" t="n">
        <f aca="false">COUNTIF('📋 Trade Log'!O4:O503,"Loss")</f>
        <v>0</v>
      </c>
      <c r="D6" s="16" t="s">
        <v>28</v>
      </c>
      <c r="E6" s="18" t="n">
        <f aca="false">IFERROR(SUMIF('📋 Trade Log'!O4:O503,"Win",'📋 Trade Log'!L4:L503)/ABS(SUMIF('📋 Trade Log'!O4:O503,"Loss",'📋 Trade Log'!L4:L503)),0)</f>
        <v>0</v>
      </c>
    </row>
    <row r="7" customFormat="false" ht="15" hidden="false" customHeight="false" outlineLevel="0" collapsed="false">
      <c r="A7" s="16" t="s">
        <v>29</v>
      </c>
      <c r="B7" s="17" t="n">
        <f aca="false">COUNTIF('📋 Trade Log'!O4:O503,"Break Even")</f>
        <v>0</v>
      </c>
      <c r="D7" s="16" t="s">
        <v>30</v>
      </c>
      <c r="E7" s="19" t="n">
        <f aca="false">IFERROR(B6*AVERAGEIF('📋 Trade Log'!O4:O503,"Win",'📋 Trade Log'!L4:L503)+B7*AVERAGEIF('📋 Trade Log'!O4:O503,"Loss",'📋 Trade Log'!L4:L503),0)</f>
        <v>0</v>
      </c>
    </row>
    <row r="8" customFormat="false" ht="15" hidden="false" customHeight="false" outlineLevel="0" collapsed="false">
      <c r="A8" s="16" t="s">
        <v>31</v>
      </c>
      <c r="B8" s="20" t="n">
        <f aca="false">IFERROR(COUNTIF('📋 Trade Log'!O4:O503,"Win")/COUNTA('📋 Trade Log'!O4:O503),0)</f>
        <v>0</v>
      </c>
      <c r="D8" s="16" t="s">
        <v>32</v>
      </c>
      <c r="E8" s="19" t="n">
        <f aca="false">IFERROR(MIN(minifs('📋 Trade Log'!L4:L503,'📋 Trade Log'!O4:O503,"Loss")),0)</f>
        <v>0</v>
      </c>
    </row>
    <row r="9" customFormat="false" ht="15" hidden="false" customHeight="false" outlineLevel="0" collapsed="false">
      <c r="A9" s="16" t="s">
        <v>33</v>
      </c>
      <c r="B9" s="20" t="n">
        <f aca="false">IFERROR(COUNTIF('📋 Trade Log'!O4:O503,"Loss")/COUNTA('📋 Trade Log'!O4:O503),0)</f>
        <v>0</v>
      </c>
      <c r="D9" s="16" t="s">
        <v>34</v>
      </c>
      <c r="E9" s="21" t="n">
        <f aca="false">IFERROR(AVERAGEIF('📋 Trade Log'!O4:O503,"Win",'📋 Trade Log'!K4:K503),0)</f>
        <v>0</v>
      </c>
    </row>
    <row r="10" customFormat="false" ht="15" hidden="false" customHeight="false" outlineLevel="0" collapsed="false">
      <c r="A10" s="16" t="s">
        <v>35</v>
      </c>
      <c r="B10" s="19" t="n">
        <f aca="false">IFERROR(SUM('📋 Trade Log'!L4:L503),0)</f>
        <v>0</v>
      </c>
      <c r="D10" s="16" t="s">
        <v>36</v>
      </c>
      <c r="E10" s="21" t="n">
        <f aca="false">IFERROR(AVERAGEIF('📋 Trade Log'!O4:O503,"Loss",'📋 Trade Log'!K4:K503),0)</f>
        <v>0</v>
      </c>
    </row>
    <row r="11" customFormat="false" ht="15" hidden="false" customHeight="false" outlineLevel="0" collapsed="false">
      <c r="A11" s="16" t="s">
        <v>37</v>
      </c>
      <c r="B11" s="19" t="n">
        <f aca="false">IFERROR(AVERAGEIF('📋 Trade Log'!O4:O503,"Win",'📋 Trade Log'!L4:L503),0)</f>
        <v>0</v>
      </c>
    </row>
    <row r="12" customFormat="false" ht="15" hidden="false" customHeight="false" outlineLevel="0" collapsed="false">
      <c r="A12" s="16" t="s">
        <v>38</v>
      </c>
      <c r="B12" s="19" t="n">
        <f aca="false">IFERROR(AVERAGEIF('📋 Trade Log'!O4:O503,"Loss",'📋 Trade Log'!L4:L503),0)</f>
        <v>0</v>
      </c>
    </row>
    <row r="13" customFormat="false" ht="15" hidden="false" customHeight="false" outlineLevel="0" collapsed="false">
      <c r="A13" s="16" t="s">
        <v>39</v>
      </c>
      <c r="B13" s="19" t="n">
        <f aca="false">IFERROR(MAX('📋 Trade Log'!L4:L503),0)</f>
        <v>0</v>
      </c>
    </row>
    <row r="14" customFormat="false" ht="15" hidden="false" customHeight="false" outlineLevel="0" collapsed="false">
      <c r="A14" s="16" t="s">
        <v>40</v>
      </c>
      <c r="B14" s="19" t="n">
        <f aca="false">IFERROR(MIN('📋 Trade Log'!L4:L503),0)</f>
        <v>0</v>
      </c>
    </row>
    <row r="17" customFormat="false" ht="15" hidden="false" customHeight="true" outlineLevel="0" collapsed="false">
      <c r="A17" s="15" t="s">
        <v>41</v>
      </c>
      <c r="B17" s="15"/>
      <c r="C17" s="15"/>
      <c r="D17" s="15"/>
      <c r="E17" s="15"/>
      <c r="F17" s="15"/>
    </row>
    <row r="18" customFormat="false" ht="15" hidden="false" customHeight="false" outlineLevel="0" collapsed="false">
      <c r="A18" s="22" t="s">
        <v>42</v>
      </c>
      <c r="B18" s="22" t="s">
        <v>43</v>
      </c>
      <c r="C18" s="22" t="s">
        <v>44</v>
      </c>
      <c r="D18" s="22" t="s">
        <v>45</v>
      </c>
      <c r="E18" s="22" t="s">
        <v>31</v>
      </c>
      <c r="F18" s="22" t="s">
        <v>35</v>
      </c>
    </row>
    <row r="19" customFormat="false" ht="15" hidden="false" customHeight="false" outlineLevel="0" collapsed="false">
      <c r="A19" s="4" t="s">
        <v>46</v>
      </c>
      <c r="B19" s="23" t="n">
        <f aca="false">COUNTIF('📋 Trade Log'!C4:C503,A19)</f>
        <v>0</v>
      </c>
      <c r="C19" s="23" t="n">
        <f aca="false">COUNTIFS('📋 Trade Log'!C4:C503,A19,'📋 Trade Log'!O4:O503,"Win")</f>
        <v>0</v>
      </c>
      <c r="D19" s="23" t="n">
        <f aca="false">COUNTIFS('📋 Trade Log'!C4:C503,A19,'📋 Trade Log'!O4:O503,"Loss")</f>
        <v>0</v>
      </c>
      <c r="E19" s="24" t="n">
        <f aca="false">IFERROR(C19/B19,0)</f>
        <v>0</v>
      </c>
      <c r="F19" s="12" t="n">
        <f aca="false">IFERROR(SUMIF('📋 Trade Log'!C4:C503,A19,'📋 Trade Log'!L4:L503),0)</f>
        <v>0</v>
      </c>
    </row>
    <row r="20" customFormat="false" ht="15" hidden="false" customHeight="false" outlineLevel="0" collapsed="false">
      <c r="A20" s="4" t="s">
        <v>47</v>
      </c>
      <c r="B20" s="25" t="n">
        <f aca="false">COUNTIF('📋 Trade Log'!C4:C503,A20)</f>
        <v>0</v>
      </c>
      <c r="C20" s="25" t="n">
        <f aca="false">COUNTIFS('📋 Trade Log'!C4:C503,A20,'📋 Trade Log'!O4:O503,"Win")</f>
        <v>0</v>
      </c>
      <c r="D20" s="25" t="n">
        <f aca="false">COUNTIFS('📋 Trade Log'!C4:C503,A20,'📋 Trade Log'!O4:O503,"Loss")</f>
        <v>0</v>
      </c>
      <c r="E20" s="26" t="n">
        <f aca="false">IFERROR(C20/B20,0)</f>
        <v>0</v>
      </c>
      <c r="F20" s="7" t="n">
        <f aca="false">IFERROR(SUMIF('📋 Trade Log'!C4:C503,A20,'📋 Trade Log'!L4:L503),0)</f>
        <v>0</v>
      </c>
    </row>
    <row r="21" customFormat="false" ht="15" hidden="false" customHeight="false" outlineLevel="0" collapsed="false">
      <c r="A21" s="4" t="s">
        <v>48</v>
      </c>
      <c r="B21" s="23" t="n">
        <f aca="false">COUNTIF('📋 Trade Log'!C4:C503,A21)</f>
        <v>0</v>
      </c>
      <c r="C21" s="23" t="n">
        <f aca="false">COUNTIFS('📋 Trade Log'!C4:C503,A21,'📋 Trade Log'!O4:O503,"Win")</f>
        <v>0</v>
      </c>
      <c r="D21" s="23" t="n">
        <f aca="false">COUNTIFS('📋 Trade Log'!C4:C503,A21,'📋 Trade Log'!O4:O503,"Loss")</f>
        <v>0</v>
      </c>
      <c r="E21" s="24" t="n">
        <f aca="false">IFERROR(C21/B21,0)</f>
        <v>0</v>
      </c>
      <c r="F21" s="12" t="n">
        <f aca="false">IFERROR(SUMIF('📋 Trade Log'!C4:C503,A21,'📋 Trade Log'!L4:L503),0)</f>
        <v>0</v>
      </c>
    </row>
    <row r="22" customFormat="false" ht="15" hidden="false" customHeight="false" outlineLevel="0" collapsed="false">
      <c r="A22" s="4" t="s">
        <v>49</v>
      </c>
      <c r="B22" s="25" t="n">
        <f aca="false">COUNTIF('📋 Trade Log'!C4:C503,A22)</f>
        <v>0</v>
      </c>
      <c r="C22" s="25" t="n">
        <f aca="false">COUNTIFS('📋 Trade Log'!C4:C503,A22,'📋 Trade Log'!O4:O503,"Win")</f>
        <v>0</v>
      </c>
      <c r="D22" s="25" t="n">
        <f aca="false">COUNTIFS('📋 Trade Log'!C4:C503,A22,'📋 Trade Log'!O4:O503,"Loss")</f>
        <v>0</v>
      </c>
      <c r="E22" s="26" t="n">
        <f aca="false">IFERROR(C22/B22,0)</f>
        <v>0</v>
      </c>
      <c r="F22" s="7" t="n">
        <f aca="false">IFERROR(SUMIF('📋 Trade Log'!C4:C503,A22,'📋 Trade Log'!L4:L503),0)</f>
        <v>0</v>
      </c>
    </row>
    <row r="23" customFormat="false" ht="15" hidden="false" customHeight="false" outlineLevel="0" collapsed="false">
      <c r="A23" s="4" t="s">
        <v>50</v>
      </c>
      <c r="B23" s="23" t="n">
        <f aca="false">COUNTIF('📋 Trade Log'!C4:C503,A23)</f>
        <v>0</v>
      </c>
      <c r="C23" s="23" t="n">
        <f aca="false">COUNTIFS('📋 Trade Log'!C4:C503,A23,'📋 Trade Log'!O4:O503,"Win")</f>
        <v>0</v>
      </c>
      <c r="D23" s="23" t="n">
        <f aca="false">COUNTIFS('📋 Trade Log'!C4:C503,A23,'📋 Trade Log'!O4:O503,"Loss")</f>
        <v>0</v>
      </c>
      <c r="E23" s="24" t="n">
        <f aca="false">IFERROR(C23/B23,0)</f>
        <v>0</v>
      </c>
      <c r="F23" s="12" t="n">
        <f aca="false">IFERROR(SUMIF('📋 Trade Log'!C4:C503,A23,'📋 Trade Log'!L4:L503),0)</f>
        <v>0</v>
      </c>
    </row>
    <row r="26" customFormat="false" ht="15" hidden="false" customHeight="true" outlineLevel="0" collapsed="false">
      <c r="A26" s="15" t="s">
        <v>51</v>
      </c>
      <c r="B26" s="15"/>
      <c r="C26" s="15"/>
      <c r="D26" s="15"/>
      <c r="E26" s="15"/>
      <c r="F26" s="15"/>
    </row>
    <row r="27" customFormat="false" ht="15" hidden="false" customHeight="false" outlineLevel="0" collapsed="false">
      <c r="A27" s="22" t="s">
        <v>5</v>
      </c>
      <c r="B27" s="22" t="s">
        <v>43</v>
      </c>
      <c r="C27" s="22" t="s">
        <v>44</v>
      </c>
      <c r="D27" s="22" t="s">
        <v>31</v>
      </c>
      <c r="E27" s="22" t="s">
        <v>35</v>
      </c>
      <c r="F27" s="22" t="s">
        <v>52</v>
      </c>
    </row>
    <row r="28" customFormat="false" ht="15" hidden="false" customHeight="false" outlineLevel="0" collapsed="false">
      <c r="A28" s="4" t="s">
        <v>53</v>
      </c>
      <c r="B28" s="23" t="n">
        <f aca="false">COUNTIF('📋 Trade Log'!D4:D503,A28)</f>
        <v>0</v>
      </c>
      <c r="C28" s="23" t="n">
        <f aca="false">COUNTIFS('📋 Trade Log'!D4:D503,A28,'📋 Trade Log'!O4:O503,"Win")</f>
        <v>0</v>
      </c>
      <c r="D28" s="24" t="n">
        <f aca="false">IFERROR(C28/B28,0)</f>
        <v>0</v>
      </c>
      <c r="E28" s="12" t="n">
        <f aca="false">IFERROR(SUMIF('📋 Trade Log'!D4:D503,A28,'📋 Trade Log'!L4:L503),0)</f>
        <v>0</v>
      </c>
      <c r="F28" s="12" t="n">
        <f aca="false">IFERROR(AVERAGEIF('📋 Trade Log'!D4:D503,A28,'📋 Trade Log'!L4:L503),0)</f>
        <v>0</v>
      </c>
    </row>
    <row r="29" customFormat="false" ht="15" hidden="false" customHeight="false" outlineLevel="0" collapsed="false">
      <c r="A29" s="4" t="s">
        <v>54</v>
      </c>
      <c r="B29" s="25" t="n">
        <f aca="false">COUNTIF('📋 Trade Log'!D4:D503,A29)</f>
        <v>0</v>
      </c>
      <c r="C29" s="25" t="n">
        <f aca="false">COUNTIFS('📋 Trade Log'!D4:D503,A29,'📋 Trade Log'!O4:O503,"Win")</f>
        <v>0</v>
      </c>
      <c r="D29" s="26" t="n">
        <f aca="false">IFERROR(C29/B29,0)</f>
        <v>0</v>
      </c>
      <c r="E29" s="7" t="n">
        <f aca="false">IFERROR(SUMIF('📋 Trade Log'!D4:D503,A29,'📋 Trade Log'!L4:L503),0)</f>
        <v>0</v>
      </c>
      <c r="F29" s="7" t="n">
        <f aca="false">IFERROR(AVERAGEIF('📋 Trade Log'!D4:D503,A29,'📋 Trade Log'!L4:L503),0)</f>
        <v>0</v>
      </c>
    </row>
    <row r="30" customFormat="false" ht="15" hidden="false" customHeight="false" outlineLevel="0" collapsed="false">
      <c r="A30" s="4" t="s">
        <v>55</v>
      </c>
      <c r="B30" s="23" t="n">
        <f aca="false">COUNTIF('📋 Trade Log'!D4:D503,A30)</f>
        <v>0</v>
      </c>
      <c r="C30" s="23" t="n">
        <f aca="false">COUNTIFS('📋 Trade Log'!D4:D503,A30,'📋 Trade Log'!O4:O503,"Win")</f>
        <v>0</v>
      </c>
      <c r="D30" s="24" t="n">
        <f aca="false">IFERROR(C30/B30,0)</f>
        <v>0</v>
      </c>
      <c r="E30" s="12" t="n">
        <f aca="false">IFERROR(SUMIF('📋 Trade Log'!D4:D503,A30,'📋 Trade Log'!L4:L503),0)</f>
        <v>0</v>
      </c>
      <c r="F30" s="12" t="n">
        <f aca="false">IFERROR(AVERAGEIF('📋 Trade Log'!D4:D503,A30,'📋 Trade Log'!L4:L503),0)</f>
        <v>0</v>
      </c>
    </row>
    <row r="31" customFormat="false" ht="15" hidden="false" customHeight="false" outlineLevel="0" collapsed="false">
      <c r="A31" s="4" t="s">
        <v>56</v>
      </c>
      <c r="B31" s="25" t="n">
        <f aca="false">COUNTIF('📋 Trade Log'!D4:D503,A31)</f>
        <v>0</v>
      </c>
      <c r="C31" s="25" t="n">
        <f aca="false">COUNTIFS('📋 Trade Log'!D4:D503,A31,'📋 Trade Log'!O4:O503,"Win")</f>
        <v>0</v>
      </c>
      <c r="D31" s="26" t="n">
        <f aca="false">IFERROR(C31/B31,0)</f>
        <v>0</v>
      </c>
      <c r="E31" s="7" t="n">
        <f aca="false">IFERROR(SUMIF('📋 Trade Log'!D4:D503,A31,'📋 Trade Log'!L4:L503),0)</f>
        <v>0</v>
      </c>
      <c r="F31" s="7" t="n">
        <f aca="false">IFERROR(AVERAGEIF('📋 Trade Log'!D4:D503,A31,'📋 Trade Log'!L4:L503),0)</f>
        <v>0</v>
      </c>
    </row>
  </sheetData>
  <mergeCells count="5">
    <mergeCell ref="A1:L1"/>
    <mergeCell ref="A3:B3"/>
    <mergeCell ref="D3:E3"/>
    <mergeCell ref="A17:F17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4" min="3" style="0" width="8"/>
    <col collapsed="false" customWidth="true" hidden="false" outlineLevel="0" max="5" min="5" style="0" width="10"/>
    <col collapsed="false" customWidth="true" hidden="false" outlineLevel="0" max="8" min="6" style="0" width="14"/>
  </cols>
  <sheetData>
    <row r="1" customFormat="false" ht="36" hidden="false" customHeight="true" outlineLevel="0" collapsed="false">
      <c r="A1" s="14" t="s">
        <v>57</v>
      </c>
      <c r="B1" s="14"/>
      <c r="C1" s="14"/>
      <c r="D1" s="14"/>
      <c r="E1" s="14"/>
      <c r="F1" s="14"/>
      <c r="G1" s="14"/>
      <c r="H1" s="14"/>
    </row>
    <row r="3" customFormat="false" ht="15" hidden="false" customHeight="false" outlineLevel="0" collapsed="false">
      <c r="A3" s="3" t="s">
        <v>58</v>
      </c>
      <c r="B3" s="3" t="s">
        <v>43</v>
      </c>
      <c r="C3" s="3" t="s">
        <v>44</v>
      </c>
      <c r="D3" s="3" t="s">
        <v>45</v>
      </c>
      <c r="E3" s="3" t="s">
        <v>31</v>
      </c>
      <c r="F3" s="3" t="s">
        <v>35</v>
      </c>
      <c r="G3" s="3" t="s">
        <v>52</v>
      </c>
      <c r="H3" s="3" t="s">
        <v>59</v>
      </c>
    </row>
    <row r="4" customFormat="false" ht="15" hidden="false" customHeight="false" outlineLevel="0" collapsed="false">
      <c r="A4" s="4" t="s">
        <v>60</v>
      </c>
      <c r="B4" s="23" t="n">
        <f aca="false">SUMPRODUCT((ISNUMBER('📋 Trade Log'!B4:B503))*(MONTH('📋 Trade Log'!B4:B503)=1)*('📋 Trade Log'!O4:O503&lt;&gt;"")*(1))</f>
        <v>0</v>
      </c>
      <c r="C4" s="23" t="n">
        <f aca="false">SUMPRODUCT((MONTH('📋 Trade Log'!B4:B503)=1)*('📋 Trade Log'!O4:O503="Win"))</f>
        <v>0</v>
      </c>
      <c r="D4" s="23" t="n">
        <f aca="false">SUMPRODUCT((MONTH('📋 Trade Log'!B4:B503)=1)*('📋 Trade Log'!O4:O503="Loss"))</f>
        <v>0</v>
      </c>
      <c r="E4" s="24" t="n">
        <f aca="false">IFERROR(C4/B4,0)</f>
        <v>0</v>
      </c>
      <c r="F4" s="12" t="n">
        <f aca="false">IFERROR(SUMPRODUCT((ISNUMBER('📋 Trade Log'!B4:B503))*(MONTH('📋 Trade Log'!B4:B503)=1)*IF(ISNUMBER('📋 Trade Log'!L4:L503),'📋 Trade Log'!L4:L503,0)),0)</f>
        <v>0</v>
      </c>
      <c r="G4" s="12" t="n">
        <f aca="false">IFERROR(F4/B4,0)</f>
        <v>0</v>
      </c>
      <c r="H4" s="12" t="n">
        <f aca="false">SUM($F$4:F4)</f>
        <v>0</v>
      </c>
    </row>
    <row r="5" customFormat="false" ht="15" hidden="false" customHeight="false" outlineLevel="0" collapsed="false">
      <c r="A5" s="4" t="s">
        <v>61</v>
      </c>
      <c r="B5" s="25" t="n">
        <f aca="false">SUMPRODUCT((ISNUMBER('📋 Trade Log'!B4:B503))*(MONTH('📋 Trade Log'!B4:B503)=2)*('📋 Trade Log'!O4:O503&lt;&gt;"")*(1))</f>
        <v>0</v>
      </c>
      <c r="C5" s="25" t="n">
        <f aca="false">SUMPRODUCT((MONTH('📋 Trade Log'!B4:B503)=2)*('📋 Trade Log'!O4:O503="Win"))</f>
        <v>0</v>
      </c>
      <c r="D5" s="25" t="n">
        <f aca="false">SUMPRODUCT((MONTH('📋 Trade Log'!B4:B503)=2)*('📋 Trade Log'!O4:O503="Loss"))</f>
        <v>0</v>
      </c>
      <c r="E5" s="26" t="n">
        <f aca="false">IFERROR(C5/B5,0)</f>
        <v>0</v>
      </c>
      <c r="F5" s="7" t="n">
        <f aca="false">IFERROR(SUMPRODUCT((ISNUMBER('📋 Trade Log'!B4:B503))*(MONTH('📋 Trade Log'!B4:B503)=2)*IF(ISNUMBER('📋 Trade Log'!L4:L503),'📋 Trade Log'!L4:L503,0)),0)</f>
        <v>0</v>
      </c>
      <c r="G5" s="7" t="n">
        <f aca="false">IFERROR(F5/B5,0)</f>
        <v>0</v>
      </c>
      <c r="H5" s="7" t="n">
        <f aca="false">SUM($F$4:F5)</f>
        <v>0</v>
      </c>
    </row>
    <row r="6" customFormat="false" ht="15" hidden="false" customHeight="false" outlineLevel="0" collapsed="false">
      <c r="A6" s="4" t="s">
        <v>62</v>
      </c>
      <c r="B6" s="23" t="n">
        <f aca="false">SUMPRODUCT((ISNUMBER('📋 Trade Log'!B4:B503))*(MONTH('📋 Trade Log'!B4:B503)=3)*('📋 Trade Log'!O4:O503&lt;&gt;"")*(1))</f>
        <v>0</v>
      </c>
      <c r="C6" s="23" t="n">
        <f aca="false">SUMPRODUCT((MONTH('📋 Trade Log'!B4:B503)=3)*('📋 Trade Log'!O4:O503="Win"))</f>
        <v>0</v>
      </c>
      <c r="D6" s="23" t="n">
        <f aca="false">SUMPRODUCT((MONTH('📋 Trade Log'!B4:B503)=3)*('📋 Trade Log'!O4:O503="Loss"))</f>
        <v>0</v>
      </c>
      <c r="E6" s="24" t="n">
        <f aca="false">IFERROR(C6/B6,0)</f>
        <v>0</v>
      </c>
      <c r="F6" s="12" t="n">
        <f aca="false">IFERROR(SUMPRODUCT((ISNUMBER('📋 Trade Log'!B4:B503))*(MONTH('📋 Trade Log'!B4:B503)=3)*IF(ISNUMBER('📋 Trade Log'!L4:L503),'📋 Trade Log'!L4:L503,0)),0)</f>
        <v>0</v>
      </c>
      <c r="G6" s="12" t="n">
        <f aca="false">IFERROR(F6/B6,0)</f>
        <v>0</v>
      </c>
      <c r="H6" s="12" t="n">
        <f aca="false">SUM($F$4:F6)</f>
        <v>0</v>
      </c>
    </row>
    <row r="7" customFormat="false" ht="15" hidden="false" customHeight="false" outlineLevel="0" collapsed="false">
      <c r="A7" s="4" t="s">
        <v>63</v>
      </c>
      <c r="B7" s="25" t="n">
        <f aca="false">SUMPRODUCT((ISNUMBER('📋 Trade Log'!B4:B503))*(MONTH('📋 Trade Log'!B4:B503)=4)*('📋 Trade Log'!O4:O503&lt;&gt;"")*(1))</f>
        <v>0</v>
      </c>
      <c r="C7" s="25" t="n">
        <f aca="false">SUMPRODUCT((MONTH('📋 Trade Log'!B4:B503)=4)*('📋 Trade Log'!O4:O503="Win"))</f>
        <v>0</v>
      </c>
      <c r="D7" s="25" t="n">
        <f aca="false">SUMPRODUCT((MONTH('📋 Trade Log'!B4:B503)=4)*('📋 Trade Log'!O4:O503="Loss"))</f>
        <v>0</v>
      </c>
      <c r="E7" s="26" t="n">
        <f aca="false">IFERROR(C7/B7,0)</f>
        <v>0</v>
      </c>
      <c r="F7" s="7" t="n">
        <f aca="false">IFERROR(SUMPRODUCT((ISNUMBER('📋 Trade Log'!B4:B503))*(MONTH('📋 Trade Log'!B4:B503)=4)*IF(ISNUMBER('📋 Trade Log'!L4:L503),'📋 Trade Log'!L4:L503,0)),0)</f>
        <v>0</v>
      </c>
      <c r="G7" s="7" t="n">
        <f aca="false">IFERROR(F7/B7,0)</f>
        <v>0</v>
      </c>
      <c r="H7" s="7" t="n">
        <f aca="false">SUM($F$4:F7)</f>
        <v>0</v>
      </c>
    </row>
    <row r="8" customFormat="false" ht="15" hidden="false" customHeight="false" outlineLevel="0" collapsed="false">
      <c r="A8" s="4" t="s">
        <v>64</v>
      </c>
      <c r="B8" s="23" t="n">
        <f aca="false">SUMPRODUCT((ISNUMBER('📋 Trade Log'!B4:B503))*(MONTH('📋 Trade Log'!B4:B503)=5)*('📋 Trade Log'!O4:O503&lt;&gt;"")*(1))</f>
        <v>0</v>
      </c>
      <c r="C8" s="23" t="n">
        <f aca="false">SUMPRODUCT((MONTH('📋 Trade Log'!B4:B503)=5)*('📋 Trade Log'!O4:O503="Win"))</f>
        <v>0</v>
      </c>
      <c r="D8" s="23" t="n">
        <f aca="false">SUMPRODUCT((MONTH('📋 Trade Log'!B4:B503)=5)*('📋 Trade Log'!O4:O503="Loss"))</f>
        <v>0</v>
      </c>
      <c r="E8" s="24" t="n">
        <f aca="false">IFERROR(C8/B8,0)</f>
        <v>0</v>
      </c>
      <c r="F8" s="12" t="n">
        <f aca="false">IFERROR(SUMPRODUCT((ISNUMBER('📋 Trade Log'!B4:B503))*(MONTH('📋 Trade Log'!B4:B503)=5)*IF(ISNUMBER('📋 Trade Log'!L4:L503),'📋 Trade Log'!L4:L503,0)),0)</f>
        <v>0</v>
      </c>
      <c r="G8" s="12" t="n">
        <f aca="false">IFERROR(F8/B8,0)</f>
        <v>0</v>
      </c>
      <c r="H8" s="12" t="n">
        <f aca="false">SUM($F$4:F8)</f>
        <v>0</v>
      </c>
    </row>
    <row r="9" customFormat="false" ht="15" hidden="false" customHeight="false" outlineLevel="0" collapsed="false">
      <c r="A9" s="4" t="s">
        <v>65</v>
      </c>
      <c r="B9" s="25" t="n">
        <f aca="false">SUMPRODUCT((ISNUMBER('📋 Trade Log'!B4:B503))*(MONTH('📋 Trade Log'!B4:B503)=6)*('📋 Trade Log'!O4:O503&lt;&gt;"")*(1))</f>
        <v>0</v>
      </c>
      <c r="C9" s="25" t="n">
        <f aca="false">SUMPRODUCT((MONTH('📋 Trade Log'!B4:B503)=6)*('📋 Trade Log'!O4:O503="Win"))</f>
        <v>0</v>
      </c>
      <c r="D9" s="25" t="n">
        <f aca="false">SUMPRODUCT((MONTH('📋 Trade Log'!B4:B503)=6)*('📋 Trade Log'!O4:O503="Loss"))</f>
        <v>0</v>
      </c>
      <c r="E9" s="26" t="n">
        <f aca="false">IFERROR(C9/B9,0)</f>
        <v>0</v>
      </c>
      <c r="F9" s="7" t="n">
        <f aca="false">IFERROR(SUMPRODUCT((ISNUMBER('📋 Trade Log'!B4:B503))*(MONTH('📋 Trade Log'!B4:B503)=6)*IF(ISNUMBER('📋 Trade Log'!L4:L503),'📋 Trade Log'!L4:L503,0)),0)</f>
        <v>0</v>
      </c>
      <c r="G9" s="7" t="n">
        <f aca="false">IFERROR(F9/B9,0)</f>
        <v>0</v>
      </c>
      <c r="H9" s="7" t="n">
        <f aca="false">SUM($F$4:F9)</f>
        <v>0</v>
      </c>
    </row>
    <row r="10" customFormat="false" ht="15" hidden="false" customHeight="false" outlineLevel="0" collapsed="false">
      <c r="A10" s="4" t="s">
        <v>66</v>
      </c>
      <c r="B10" s="23" t="n">
        <f aca="false">SUMPRODUCT((ISNUMBER('📋 Trade Log'!B4:B503))*(MONTH('📋 Trade Log'!B4:B503)=7)*('📋 Trade Log'!O4:O503&lt;&gt;"")*(1))</f>
        <v>0</v>
      </c>
      <c r="C10" s="23" t="n">
        <f aca="false">SUMPRODUCT((MONTH('📋 Trade Log'!B4:B503)=7)*('📋 Trade Log'!O4:O503="Win"))</f>
        <v>0</v>
      </c>
      <c r="D10" s="23" t="n">
        <f aca="false">SUMPRODUCT((MONTH('📋 Trade Log'!B4:B503)=7)*('📋 Trade Log'!O4:O503="Loss"))</f>
        <v>0</v>
      </c>
      <c r="E10" s="24" t="n">
        <f aca="false">IFERROR(C10/B10,0)</f>
        <v>0</v>
      </c>
      <c r="F10" s="12" t="n">
        <f aca="false">IFERROR(SUMPRODUCT((ISNUMBER('📋 Trade Log'!B4:B503))*(MONTH('📋 Trade Log'!B4:B503)=7)*IF(ISNUMBER('📋 Trade Log'!L4:L503),'📋 Trade Log'!L4:L503,0)),0)</f>
        <v>0</v>
      </c>
      <c r="G10" s="12" t="n">
        <f aca="false">IFERROR(F10/B10,0)</f>
        <v>0</v>
      </c>
      <c r="H10" s="12" t="n">
        <f aca="false">SUM($F$4:F10)</f>
        <v>0</v>
      </c>
    </row>
    <row r="11" customFormat="false" ht="15" hidden="false" customHeight="false" outlineLevel="0" collapsed="false">
      <c r="A11" s="4" t="s">
        <v>67</v>
      </c>
      <c r="B11" s="25" t="n">
        <f aca="false">SUMPRODUCT((ISNUMBER('📋 Trade Log'!B4:B503))*(MONTH('📋 Trade Log'!B4:B503)=8)*('📋 Trade Log'!O4:O503&lt;&gt;"")*(1))</f>
        <v>0</v>
      </c>
      <c r="C11" s="25" t="n">
        <f aca="false">SUMPRODUCT((MONTH('📋 Trade Log'!B4:B503)=8)*('📋 Trade Log'!O4:O503="Win"))</f>
        <v>0</v>
      </c>
      <c r="D11" s="25" t="n">
        <f aca="false">SUMPRODUCT((MONTH('📋 Trade Log'!B4:B503)=8)*('📋 Trade Log'!O4:O503="Loss"))</f>
        <v>0</v>
      </c>
      <c r="E11" s="26" t="n">
        <f aca="false">IFERROR(C11/B11,0)</f>
        <v>0</v>
      </c>
      <c r="F11" s="7" t="n">
        <f aca="false">IFERROR(SUMPRODUCT((ISNUMBER('📋 Trade Log'!B4:B503))*(MONTH('📋 Trade Log'!B4:B503)=8)*IF(ISNUMBER('📋 Trade Log'!L4:L503),'📋 Trade Log'!L4:L503,0)),0)</f>
        <v>0</v>
      </c>
      <c r="G11" s="7" t="n">
        <f aca="false">IFERROR(F11/B11,0)</f>
        <v>0</v>
      </c>
      <c r="H11" s="7" t="n">
        <f aca="false">SUM($F$4:F11)</f>
        <v>0</v>
      </c>
    </row>
    <row r="12" customFormat="false" ht="15" hidden="false" customHeight="false" outlineLevel="0" collapsed="false">
      <c r="A12" s="4" t="s">
        <v>68</v>
      </c>
      <c r="B12" s="23" t="n">
        <f aca="false">SUMPRODUCT((ISNUMBER('📋 Trade Log'!B4:B503))*(MONTH('📋 Trade Log'!B4:B503)=9)*('📋 Trade Log'!O4:O503&lt;&gt;"")*(1))</f>
        <v>0</v>
      </c>
      <c r="C12" s="23" t="n">
        <f aca="false">SUMPRODUCT((MONTH('📋 Trade Log'!B4:B503)=9)*('📋 Trade Log'!O4:O503="Win"))</f>
        <v>0</v>
      </c>
      <c r="D12" s="23" t="n">
        <f aca="false">SUMPRODUCT((MONTH('📋 Trade Log'!B4:B503)=9)*('📋 Trade Log'!O4:O503="Loss"))</f>
        <v>0</v>
      </c>
      <c r="E12" s="24" t="n">
        <f aca="false">IFERROR(C12/B12,0)</f>
        <v>0</v>
      </c>
      <c r="F12" s="12" t="n">
        <f aca="false">IFERROR(SUMPRODUCT((ISNUMBER('📋 Trade Log'!B4:B503))*(MONTH('📋 Trade Log'!B4:B503)=9)*IF(ISNUMBER('📋 Trade Log'!L4:L503),'📋 Trade Log'!L4:L503,0)),0)</f>
        <v>0</v>
      </c>
      <c r="G12" s="12" t="n">
        <f aca="false">IFERROR(F12/B12,0)</f>
        <v>0</v>
      </c>
      <c r="H12" s="12" t="n">
        <f aca="false">SUM($F$4:F12)</f>
        <v>0</v>
      </c>
    </row>
    <row r="13" customFormat="false" ht="15" hidden="false" customHeight="false" outlineLevel="0" collapsed="false">
      <c r="A13" s="4" t="s">
        <v>69</v>
      </c>
      <c r="B13" s="25" t="n">
        <f aca="false">SUMPRODUCT((ISNUMBER('📋 Trade Log'!B4:B503))*(MONTH('📋 Trade Log'!B4:B503)=10)*('📋 Trade Log'!O4:O503&lt;&gt;"")*(1))</f>
        <v>0</v>
      </c>
      <c r="C13" s="25" t="n">
        <f aca="false">SUMPRODUCT((MONTH('📋 Trade Log'!B4:B503)=10)*('📋 Trade Log'!O4:O503="Win"))</f>
        <v>0</v>
      </c>
      <c r="D13" s="25" t="n">
        <f aca="false">SUMPRODUCT((MONTH('📋 Trade Log'!B4:B503)=10)*('📋 Trade Log'!O4:O503="Loss"))</f>
        <v>0</v>
      </c>
      <c r="E13" s="26" t="n">
        <f aca="false">IFERROR(C13/B13,0)</f>
        <v>0</v>
      </c>
      <c r="F13" s="7" t="n">
        <f aca="false">IFERROR(SUMPRODUCT((ISNUMBER('📋 Trade Log'!B4:B503))*(MONTH('📋 Trade Log'!B4:B503)=10)*IF(ISNUMBER('📋 Trade Log'!L4:L503),'📋 Trade Log'!L4:L503,0)),0)</f>
        <v>0</v>
      </c>
      <c r="G13" s="7" t="n">
        <f aca="false">IFERROR(F13/B13,0)</f>
        <v>0</v>
      </c>
      <c r="H13" s="7" t="n">
        <f aca="false">SUM($F$4:F13)</f>
        <v>0</v>
      </c>
    </row>
    <row r="14" customFormat="false" ht="15" hidden="false" customHeight="false" outlineLevel="0" collapsed="false">
      <c r="A14" s="4" t="s">
        <v>70</v>
      </c>
      <c r="B14" s="23" t="n">
        <f aca="false">SUMPRODUCT((ISNUMBER('📋 Trade Log'!B4:B503))*(MONTH('📋 Trade Log'!B4:B503)=11)*('📋 Trade Log'!O4:O503&lt;&gt;"")*(1))</f>
        <v>0</v>
      </c>
      <c r="C14" s="23" t="n">
        <f aca="false">SUMPRODUCT((MONTH('📋 Trade Log'!B4:B503)=11)*('📋 Trade Log'!O4:O503="Win"))</f>
        <v>0</v>
      </c>
      <c r="D14" s="23" t="n">
        <f aca="false">SUMPRODUCT((MONTH('📋 Trade Log'!B4:B503)=11)*('📋 Trade Log'!O4:O503="Loss"))</f>
        <v>0</v>
      </c>
      <c r="E14" s="24" t="n">
        <f aca="false">IFERROR(C14/B14,0)</f>
        <v>0</v>
      </c>
      <c r="F14" s="12" t="n">
        <f aca="false">IFERROR(SUMPRODUCT((ISNUMBER('📋 Trade Log'!B4:B503))*(MONTH('📋 Trade Log'!B4:B503)=11)*IF(ISNUMBER('📋 Trade Log'!L4:L503),'📋 Trade Log'!L4:L503,0)),0)</f>
        <v>0</v>
      </c>
      <c r="G14" s="12" t="n">
        <f aca="false">IFERROR(F14/B14,0)</f>
        <v>0</v>
      </c>
      <c r="H14" s="12" t="n">
        <f aca="false">SUM($F$4:F14)</f>
        <v>0</v>
      </c>
    </row>
    <row r="15" customFormat="false" ht="15" hidden="false" customHeight="false" outlineLevel="0" collapsed="false">
      <c r="A15" s="4" t="s">
        <v>71</v>
      </c>
      <c r="B15" s="25" t="n">
        <f aca="false">SUMPRODUCT((ISNUMBER('📋 Trade Log'!B4:B503))*(MONTH('📋 Trade Log'!B4:B503)=12)*('📋 Trade Log'!O4:O503&lt;&gt;"")*(1))</f>
        <v>0</v>
      </c>
      <c r="C15" s="25" t="n">
        <f aca="false">SUMPRODUCT((MONTH('📋 Trade Log'!B4:B503)=12)*('📋 Trade Log'!O4:O503="Win"))</f>
        <v>0</v>
      </c>
      <c r="D15" s="25" t="n">
        <f aca="false">SUMPRODUCT((MONTH('📋 Trade Log'!B4:B503)=12)*('📋 Trade Log'!O4:O503="Loss"))</f>
        <v>0</v>
      </c>
      <c r="E15" s="26" t="n">
        <f aca="false">IFERROR(C15/B15,0)</f>
        <v>0</v>
      </c>
      <c r="F15" s="7" t="n">
        <f aca="false">IFERROR(SUMPRODUCT((ISNUMBER('📋 Trade Log'!B4:B503))*(MONTH('📋 Trade Log'!B4:B503)=12)*IF(ISNUMBER('📋 Trade Log'!L4:L503),'📋 Trade Log'!L4:L503,0)),0)</f>
        <v>0</v>
      </c>
      <c r="G15" s="7" t="n">
        <f aca="false">IFERROR(F15/B15,0)</f>
        <v>0</v>
      </c>
      <c r="H15" s="7" t="n">
        <f aca="false">SUM($F$4:F15)</f>
        <v>0</v>
      </c>
    </row>
    <row r="16" customFormat="false" ht="15" hidden="false" customHeight="false" outlineLevel="0" collapsed="false">
      <c r="A16" s="27" t="s">
        <v>72</v>
      </c>
      <c r="B16" s="28" t="n">
        <f aca="false">SUM(B4:B15)</f>
        <v>0</v>
      </c>
      <c r="C16" s="28" t="n">
        <f aca="false">SUM(C4:C15)</f>
        <v>0</v>
      </c>
      <c r="D16" s="28" t="n">
        <f aca="false">SUM(D4:D15)</f>
        <v>0</v>
      </c>
      <c r="E16" s="29" t="n">
        <f aca="false">IFERROR(C16/B16,0)</f>
        <v>0</v>
      </c>
      <c r="F16" s="30" t="n">
        <f aca="false">SUM(F4:F15)</f>
        <v>0</v>
      </c>
      <c r="G16" s="30" t="n">
        <f aca="false">IFERROR(F16/B16,0)</f>
        <v>0</v>
      </c>
      <c r="H16" s="31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6" min="4" style="0" width="14"/>
    <col collapsed="false" customWidth="true" hidden="false" outlineLevel="0" max="7" min="7" style="0" width="10"/>
  </cols>
  <sheetData>
    <row r="1" customFormat="false" ht="36" hidden="false" customHeight="true" outlineLevel="0" collapsed="false">
      <c r="A1" s="14" t="s">
        <v>73</v>
      </c>
      <c r="B1" s="14"/>
      <c r="C1" s="14"/>
      <c r="D1" s="14"/>
      <c r="E1" s="14"/>
      <c r="F1" s="14"/>
    </row>
    <row r="2" customFormat="false" ht="15" hidden="false" customHeight="true" outlineLevel="0" collapsed="false">
      <c r="A2" s="32" t="s">
        <v>74</v>
      </c>
      <c r="B2" s="32"/>
      <c r="C2" s="32"/>
      <c r="D2" s="32"/>
      <c r="E2" s="32"/>
      <c r="F2" s="32"/>
    </row>
    <row r="3" customFormat="false" ht="15" hidden="false" customHeight="false" outlineLevel="0" collapsed="false">
      <c r="A3" s="33" t="s">
        <v>75</v>
      </c>
      <c r="B3" s="34" t="n">
        <v>10000</v>
      </c>
    </row>
    <row r="5" customFormat="false" ht="15" hidden="false" customHeight="false" outlineLevel="0" collapsed="false">
      <c r="A5" s="3" t="s">
        <v>76</v>
      </c>
      <c r="B5" s="3" t="s">
        <v>3</v>
      </c>
      <c r="C5" s="3" t="s">
        <v>77</v>
      </c>
      <c r="D5" s="3" t="s">
        <v>78</v>
      </c>
      <c r="E5" s="3" t="s">
        <v>79</v>
      </c>
      <c r="F5" s="3" t="s">
        <v>80</v>
      </c>
      <c r="G5" s="3" t="s">
        <v>81</v>
      </c>
    </row>
    <row r="6" customFormat="false" ht="15" hidden="false" customHeight="false" outlineLevel="0" collapsed="false">
      <c r="A6" s="4" t="str">
        <f aca="false">IF('📋 Trade Log'!B4&lt;&gt;"",'📋 Trade Log'!A4,"")</f>
        <v/>
      </c>
      <c r="B6" s="5" t="str">
        <f aca="false">IF('📋 Trade Log'!B4&lt;&gt;"",'📋 Trade Log'!B4,"")</f>
        <v/>
      </c>
      <c r="C6" s="7" t="str">
        <f aca="false">IF('📋 Trade Log'!L4&lt;&gt;"",'📋 Trade Log'!L4,"")</f>
        <v/>
      </c>
      <c r="D6" s="7" t="str">
        <f aca="false">IF(A6&lt;&gt;"",SUM($C$6:C6),"")</f>
        <v/>
      </c>
      <c r="E6" s="7" t="str">
        <f aca="false">IF(A6&lt;&gt;"",B$3+D6,"")</f>
        <v/>
      </c>
      <c r="F6" s="7" t="str">
        <f aca="false">IF(A6&lt;&gt;"",MIN(0,E6-MAX($E$6:E6)),"")</f>
        <v/>
      </c>
      <c r="G6" s="35" t="str">
        <f aca="false">IF(A6&lt;&gt;"",IFERROR(F6/MAX($E$6:E6),0),"")</f>
        <v/>
      </c>
    </row>
    <row r="7" customFormat="false" ht="15" hidden="false" customHeight="false" outlineLevel="0" collapsed="false">
      <c r="A7" s="9" t="str">
        <f aca="false">IF('📋 Trade Log'!B5&lt;&gt;"",'📋 Trade Log'!A5,"")</f>
        <v/>
      </c>
      <c r="B7" s="10" t="str">
        <f aca="false">IF('📋 Trade Log'!B5&lt;&gt;"",'📋 Trade Log'!B5,"")</f>
        <v/>
      </c>
      <c r="C7" s="12" t="str">
        <f aca="false">IF('📋 Trade Log'!L5&lt;&gt;"",'📋 Trade Log'!L5,"")</f>
        <v/>
      </c>
      <c r="D7" s="12" t="str">
        <f aca="false">IF(A7&lt;&gt;"",SUM($C$6:C7),"")</f>
        <v/>
      </c>
      <c r="E7" s="12" t="str">
        <f aca="false">IF(A7&lt;&gt;"",B$3+D7,"")</f>
        <v/>
      </c>
      <c r="F7" s="12" t="str">
        <f aca="false">IF(A7&lt;&gt;"",MIN(0,E7-MAX($E$6:E7)),"")</f>
        <v/>
      </c>
      <c r="G7" s="36" t="str">
        <f aca="false">IF(A7&lt;&gt;"",IFERROR(F7/MAX($E$6:E7),0),"")</f>
        <v/>
      </c>
    </row>
    <row r="8" customFormat="false" ht="15" hidden="false" customHeight="false" outlineLevel="0" collapsed="false">
      <c r="A8" s="4" t="str">
        <f aca="false">IF('📋 Trade Log'!B6&lt;&gt;"",'📋 Trade Log'!A6,"")</f>
        <v/>
      </c>
      <c r="B8" s="5" t="str">
        <f aca="false">IF('📋 Trade Log'!B6&lt;&gt;"",'📋 Trade Log'!B6,"")</f>
        <v/>
      </c>
      <c r="C8" s="7" t="str">
        <f aca="false">IF('📋 Trade Log'!L6&lt;&gt;"",'📋 Trade Log'!L6,"")</f>
        <v/>
      </c>
      <c r="D8" s="7" t="str">
        <f aca="false">IF(A8&lt;&gt;"",SUM($C$6:C8),"")</f>
        <v/>
      </c>
      <c r="E8" s="7" t="str">
        <f aca="false">IF(A8&lt;&gt;"",B$3+D8,"")</f>
        <v/>
      </c>
      <c r="F8" s="7" t="str">
        <f aca="false">IF(A8&lt;&gt;"",MIN(0,E8-MAX($E$6:E8)),"")</f>
        <v/>
      </c>
      <c r="G8" s="35" t="str">
        <f aca="false">IF(A8&lt;&gt;"",IFERROR(F8/MAX($E$6:E8),0),"")</f>
        <v/>
      </c>
    </row>
    <row r="9" customFormat="false" ht="15" hidden="false" customHeight="false" outlineLevel="0" collapsed="false">
      <c r="A9" s="9" t="str">
        <f aca="false">IF('📋 Trade Log'!B7&lt;&gt;"",'📋 Trade Log'!A7,"")</f>
        <v/>
      </c>
      <c r="B9" s="10" t="str">
        <f aca="false">IF('📋 Trade Log'!B7&lt;&gt;"",'📋 Trade Log'!B7,"")</f>
        <v/>
      </c>
      <c r="C9" s="12" t="str">
        <f aca="false">IF('📋 Trade Log'!L7&lt;&gt;"",'📋 Trade Log'!L7,"")</f>
        <v/>
      </c>
      <c r="D9" s="12" t="str">
        <f aca="false">IF(A9&lt;&gt;"",SUM($C$6:C9),"")</f>
        <v/>
      </c>
      <c r="E9" s="12" t="str">
        <f aca="false">IF(A9&lt;&gt;"",B$3+D9,"")</f>
        <v/>
      </c>
      <c r="F9" s="12" t="str">
        <f aca="false">IF(A9&lt;&gt;"",MIN(0,E9-MAX($E$6:E9)),"")</f>
        <v/>
      </c>
      <c r="G9" s="36" t="str">
        <f aca="false">IF(A9&lt;&gt;"",IFERROR(F9/MAX($E$6:E9),0),"")</f>
        <v/>
      </c>
    </row>
    <row r="10" customFormat="false" ht="15" hidden="false" customHeight="false" outlineLevel="0" collapsed="false">
      <c r="A10" s="4" t="str">
        <f aca="false">IF('📋 Trade Log'!B8&lt;&gt;"",'📋 Trade Log'!A8,"")</f>
        <v/>
      </c>
      <c r="B10" s="5" t="str">
        <f aca="false">IF('📋 Trade Log'!B8&lt;&gt;"",'📋 Trade Log'!B8,"")</f>
        <v/>
      </c>
      <c r="C10" s="7" t="str">
        <f aca="false">IF('📋 Trade Log'!L8&lt;&gt;"",'📋 Trade Log'!L8,"")</f>
        <v/>
      </c>
      <c r="D10" s="7" t="str">
        <f aca="false">IF(A10&lt;&gt;"",SUM($C$6:C10),"")</f>
        <v/>
      </c>
      <c r="E10" s="7" t="str">
        <f aca="false">IF(A10&lt;&gt;"",B$3+D10,"")</f>
        <v/>
      </c>
      <c r="F10" s="7" t="str">
        <f aca="false">IF(A10&lt;&gt;"",MIN(0,E10-MAX($E$6:E10)),"")</f>
        <v/>
      </c>
      <c r="G10" s="35" t="str">
        <f aca="false">IF(A10&lt;&gt;"",IFERROR(F10/MAX($E$6:E10),0),"")</f>
        <v/>
      </c>
    </row>
    <row r="11" customFormat="false" ht="15" hidden="false" customHeight="false" outlineLevel="0" collapsed="false">
      <c r="A11" s="9" t="str">
        <f aca="false">IF('📋 Trade Log'!B9&lt;&gt;"",'📋 Trade Log'!A9,"")</f>
        <v/>
      </c>
      <c r="B11" s="10" t="str">
        <f aca="false">IF('📋 Trade Log'!B9&lt;&gt;"",'📋 Trade Log'!B9,"")</f>
        <v/>
      </c>
      <c r="C11" s="12" t="str">
        <f aca="false">IF('📋 Trade Log'!L9&lt;&gt;"",'📋 Trade Log'!L9,"")</f>
        <v/>
      </c>
      <c r="D11" s="12" t="str">
        <f aca="false">IF(A11&lt;&gt;"",SUM($C$6:C11),"")</f>
        <v/>
      </c>
      <c r="E11" s="12" t="str">
        <f aca="false">IF(A11&lt;&gt;"",B$3+D11,"")</f>
        <v/>
      </c>
      <c r="F11" s="12" t="str">
        <f aca="false">IF(A11&lt;&gt;"",MIN(0,E11-MAX($E$6:E11)),"")</f>
        <v/>
      </c>
      <c r="G11" s="36" t="str">
        <f aca="false">IF(A11&lt;&gt;"",IFERROR(F11/MAX($E$6:E11),0),"")</f>
        <v/>
      </c>
    </row>
    <row r="12" customFormat="false" ht="15" hidden="false" customHeight="false" outlineLevel="0" collapsed="false">
      <c r="A12" s="4" t="str">
        <f aca="false">IF('📋 Trade Log'!B10&lt;&gt;"",'📋 Trade Log'!A10,"")</f>
        <v/>
      </c>
      <c r="B12" s="5" t="str">
        <f aca="false">IF('📋 Trade Log'!B10&lt;&gt;"",'📋 Trade Log'!B10,"")</f>
        <v/>
      </c>
      <c r="C12" s="7" t="str">
        <f aca="false">IF('📋 Trade Log'!L10&lt;&gt;"",'📋 Trade Log'!L10,"")</f>
        <v/>
      </c>
      <c r="D12" s="7" t="str">
        <f aca="false">IF(A12&lt;&gt;"",SUM($C$6:C12),"")</f>
        <v/>
      </c>
      <c r="E12" s="7" t="str">
        <f aca="false">IF(A12&lt;&gt;"",B$3+D12,"")</f>
        <v/>
      </c>
      <c r="F12" s="7" t="str">
        <f aca="false">IF(A12&lt;&gt;"",MIN(0,E12-MAX($E$6:E12)),"")</f>
        <v/>
      </c>
      <c r="G12" s="35" t="str">
        <f aca="false">IF(A12&lt;&gt;"",IFERROR(F12/MAX($E$6:E12),0),"")</f>
        <v/>
      </c>
    </row>
    <row r="13" customFormat="false" ht="15" hidden="false" customHeight="false" outlineLevel="0" collapsed="false">
      <c r="A13" s="9" t="str">
        <f aca="false">IF('📋 Trade Log'!B11&lt;&gt;"",'📋 Trade Log'!A11,"")</f>
        <v/>
      </c>
      <c r="B13" s="10" t="str">
        <f aca="false">IF('📋 Trade Log'!B11&lt;&gt;"",'📋 Trade Log'!B11,"")</f>
        <v/>
      </c>
      <c r="C13" s="12" t="str">
        <f aca="false">IF('📋 Trade Log'!L11&lt;&gt;"",'📋 Trade Log'!L11,"")</f>
        <v/>
      </c>
      <c r="D13" s="12" t="str">
        <f aca="false">IF(A13&lt;&gt;"",SUM($C$6:C13),"")</f>
        <v/>
      </c>
      <c r="E13" s="12" t="str">
        <f aca="false">IF(A13&lt;&gt;"",B$3+D13,"")</f>
        <v/>
      </c>
      <c r="F13" s="12" t="str">
        <f aca="false">IF(A13&lt;&gt;"",MIN(0,E13-MAX($E$6:E13)),"")</f>
        <v/>
      </c>
      <c r="G13" s="36" t="str">
        <f aca="false">IF(A13&lt;&gt;"",IFERROR(F13/MAX($E$6:E13),0),"")</f>
        <v/>
      </c>
    </row>
    <row r="14" customFormat="false" ht="15" hidden="false" customHeight="false" outlineLevel="0" collapsed="false">
      <c r="A14" s="4" t="str">
        <f aca="false">IF('📋 Trade Log'!B12&lt;&gt;"",'📋 Trade Log'!A12,"")</f>
        <v/>
      </c>
      <c r="B14" s="5" t="str">
        <f aca="false">IF('📋 Trade Log'!B12&lt;&gt;"",'📋 Trade Log'!B12,"")</f>
        <v/>
      </c>
      <c r="C14" s="7" t="str">
        <f aca="false">IF('📋 Trade Log'!L12&lt;&gt;"",'📋 Trade Log'!L12,"")</f>
        <v/>
      </c>
      <c r="D14" s="7" t="str">
        <f aca="false">IF(A14&lt;&gt;"",SUM($C$6:C14),"")</f>
        <v/>
      </c>
      <c r="E14" s="7" t="str">
        <f aca="false">IF(A14&lt;&gt;"",B$3+D14,"")</f>
        <v/>
      </c>
      <c r="F14" s="7" t="str">
        <f aca="false">IF(A14&lt;&gt;"",MIN(0,E14-MAX($E$6:E14)),"")</f>
        <v/>
      </c>
      <c r="G14" s="35" t="str">
        <f aca="false">IF(A14&lt;&gt;"",IFERROR(F14/MAX($E$6:E14),0),"")</f>
        <v/>
      </c>
    </row>
    <row r="15" customFormat="false" ht="15" hidden="false" customHeight="false" outlineLevel="0" collapsed="false">
      <c r="A15" s="9" t="str">
        <f aca="false">IF('📋 Trade Log'!B13&lt;&gt;"",'📋 Trade Log'!A13,"")</f>
        <v/>
      </c>
      <c r="B15" s="10" t="str">
        <f aca="false">IF('📋 Trade Log'!B13&lt;&gt;"",'📋 Trade Log'!B13,"")</f>
        <v/>
      </c>
      <c r="C15" s="12" t="str">
        <f aca="false">IF('📋 Trade Log'!L13&lt;&gt;"",'📋 Trade Log'!L13,"")</f>
        <v/>
      </c>
      <c r="D15" s="12" t="str">
        <f aca="false">IF(A15&lt;&gt;"",SUM($C$6:C15),"")</f>
        <v/>
      </c>
      <c r="E15" s="12" t="str">
        <f aca="false">IF(A15&lt;&gt;"",B$3+D15,"")</f>
        <v/>
      </c>
      <c r="F15" s="12" t="str">
        <f aca="false">IF(A15&lt;&gt;"",MIN(0,E15-MAX($E$6:E15)),"")</f>
        <v/>
      </c>
      <c r="G15" s="36" t="str">
        <f aca="false">IF(A15&lt;&gt;"",IFERROR(F15/MAX($E$6:E15),0),"")</f>
        <v/>
      </c>
    </row>
    <row r="16" customFormat="false" ht="15" hidden="false" customHeight="false" outlineLevel="0" collapsed="false">
      <c r="A16" s="4" t="str">
        <f aca="false">IF('📋 Trade Log'!B14&lt;&gt;"",'📋 Trade Log'!A14,"")</f>
        <v/>
      </c>
      <c r="B16" s="5" t="str">
        <f aca="false">IF('📋 Trade Log'!B14&lt;&gt;"",'📋 Trade Log'!B14,"")</f>
        <v/>
      </c>
      <c r="C16" s="7" t="str">
        <f aca="false">IF('📋 Trade Log'!L14&lt;&gt;"",'📋 Trade Log'!L14,"")</f>
        <v/>
      </c>
      <c r="D16" s="7" t="str">
        <f aca="false">IF(A16&lt;&gt;"",SUM($C$6:C16),"")</f>
        <v/>
      </c>
      <c r="E16" s="7" t="str">
        <f aca="false">IF(A16&lt;&gt;"",B$3+D16,"")</f>
        <v/>
      </c>
      <c r="F16" s="7" t="str">
        <f aca="false">IF(A16&lt;&gt;"",MIN(0,E16-MAX($E$6:E16)),"")</f>
        <v/>
      </c>
      <c r="G16" s="35" t="str">
        <f aca="false">IF(A16&lt;&gt;"",IFERROR(F16/MAX($E$6:E16),0),"")</f>
        <v/>
      </c>
    </row>
    <row r="17" customFormat="false" ht="15" hidden="false" customHeight="false" outlineLevel="0" collapsed="false">
      <c r="A17" s="9" t="str">
        <f aca="false">IF('📋 Trade Log'!B15&lt;&gt;"",'📋 Trade Log'!A15,"")</f>
        <v/>
      </c>
      <c r="B17" s="10" t="str">
        <f aca="false">IF('📋 Trade Log'!B15&lt;&gt;"",'📋 Trade Log'!B15,"")</f>
        <v/>
      </c>
      <c r="C17" s="12" t="str">
        <f aca="false">IF('📋 Trade Log'!L15&lt;&gt;"",'📋 Trade Log'!L15,"")</f>
        <v/>
      </c>
      <c r="D17" s="12" t="str">
        <f aca="false">IF(A17&lt;&gt;"",SUM($C$6:C17),"")</f>
        <v/>
      </c>
      <c r="E17" s="12" t="str">
        <f aca="false">IF(A17&lt;&gt;"",B$3+D17,"")</f>
        <v/>
      </c>
      <c r="F17" s="12" t="str">
        <f aca="false">IF(A17&lt;&gt;"",MIN(0,E17-MAX($E$6:E17)),"")</f>
        <v/>
      </c>
      <c r="G17" s="36" t="str">
        <f aca="false">IF(A17&lt;&gt;"",IFERROR(F17/MAX($E$6:E17),0),"")</f>
        <v/>
      </c>
    </row>
    <row r="18" customFormat="false" ht="15" hidden="false" customHeight="false" outlineLevel="0" collapsed="false">
      <c r="A18" s="4" t="str">
        <f aca="false">IF('📋 Trade Log'!B16&lt;&gt;"",'📋 Trade Log'!A16,"")</f>
        <v/>
      </c>
      <c r="B18" s="5" t="str">
        <f aca="false">IF('📋 Trade Log'!B16&lt;&gt;"",'📋 Trade Log'!B16,"")</f>
        <v/>
      </c>
      <c r="C18" s="7" t="str">
        <f aca="false">IF('📋 Trade Log'!L16&lt;&gt;"",'📋 Trade Log'!L16,"")</f>
        <v/>
      </c>
      <c r="D18" s="7" t="str">
        <f aca="false">IF(A18&lt;&gt;"",SUM($C$6:C18),"")</f>
        <v/>
      </c>
      <c r="E18" s="7" t="str">
        <f aca="false">IF(A18&lt;&gt;"",B$3+D18,"")</f>
        <v/>
      </c>
      <c r="F18" s="7" t="str">
        <f aca="false">IF(A18&lt;&gt;"",MIN(0,E18-MAX($E$6:E18)),"")</f>
        <v/>
      </c>
      <c r="G18" s="35" t="str">
        <f aca="false">IF(A18&lt;&gt;"",IFERROR(F18/MAX($E$6:E18),0),"")</f>
        <v/>
      </c>
    </row>
    <row r="19" customFormat="false" ht="15" hidden="false" customHeight="false" outlineLevel="0" collapsed="false">
      <c r="A19" s="9" t="str">
        <f aca="false">IF('📋 Trade Log'!B17&lt;&gt;"",'📋 Trade Log'!A17,"")</f>
        <v/>
      </c>
      <c r="B19" s="10" t="str">
        <f aca="false">IF('📋 Trade Log'!B17&lt;&gt;"",'📋 Trade Log'!B17,"")</f>
        <v/>
      </c>
      <c r="C19" s="12" t="str">
        <f aca="false">IF('📋 Trade Log'!L17&lt;&gt;"",'📋 Trade Log'!L17,"")</f>
        <v/>
      </c>
      <c r="D19" s="12" t="str">
        <f aca="false">IF(A19&lt;&gt;"",SUM($C$6:C19),"")</f>
        <v/>
      </c>
      <c r="E19" s="12" t="str">
        <f aca="false">IF(A19&lt;&gt;"",B$3+D19,"")</f>
        <v/>
      </c>
      <c r="F19" s="12" t="str">
        <f aca="false">IF(A19&lt;&gt;"",MIN(0,E19-MAX($E$6:E19)),"")</f>
        <v/>
      </c>
      <c r="G19" s="36" t="str">
        <f aca="false">IF(A19&lt;&gt;"",IFERROR(F19/MAX($E$6:E19),0),"")</f>
        <v/>
      </c>
    </row>
    <row r="20" customFormat="false" ht="15" hidden="false" customHeight="false" outlineLevel="0" collapsed="false">
      <c r="A20" s="4" t="str">
        <f aca="false">IF('📋 Trade Log'!B18&lt;&gt;"",'📋 Trade Log'!A18,"")</f>
        <v/>
      </c>
      <c r="B20" s="5" t="str">
        <f aca="false">IF('📋 Trade Log'!B18&lt;&gt;"",'📋 Trade Log'!B18,"")</f>
        <v/>
      </c>
      <c r="C20" s="7" t="str">
        <f aca="false">IF('📋 Trade Log'!L18&lt;&gt;"",'📋 Trade Log'!L18,"")</f>
        <v/>
      </c>
      <c r="D20" s="7" t="str">
        <f aca="false">IF(A20&lt;&gt;"",SUM($C$6:C20),"")</f>
        <v/>
      </c>
      <c r="E20" s="7" t="str">
        <f aca="false">IF(A20&lt;&gt;"",B$3+D20,"")</f>
        <v/>
      </c>
      <c r="F20" s="7" t="str">
        <f aca="false">IF(A20&lt;&gt;"",MIN(0,E20-MAX($E$6:E20)),"")</f>
        <v/>
      </c>
      <c r="G20" s="35" t="str">
        <f aca="false">IF(A20&lt;&gt;"",IFERROR(F20/MAX($E$6:E20),0),"")</f>
        <v/>
      </c>
    </row>
    <row r="21" customFormat="false" ht="15" hidden="false" customHeight="false" outlineLevel="0" collapsed="false">
      <c r="A21" s="9" t="str">
        <f aca="false">IF('📋 Trade Log'!B19&lt;&gt;"",'📋 Trade Log'!A19,"")</f>
        <v/>
      </c>
      <c r="B21" s="10" t="str">
        <f aca="false">IF('📋 Trade Log'!B19&lt;&gt;"",'📋 Trade Log'!B19,"")</f>
        <v/>
      </c>
      <c r="C21" s="12" t="str">
        <f aca="false">IF('📋 Trade Log'!L19&lt;&gt;"",'📋 Trade Log'!L19,"")</f>
        <v/>
      </c>
      <c r="D21" s="12" t="str">
        <f aca="false">IF(A21&lt;&gt;"",SUM($C$6:C21),"")</f>
        <v/>
      </c>
      <c r="E21" s="12" t="str">
        <f aca="false">IF(A21&lt;&gt;"",B$3+D21,"")</f>
        <v/>
      </c>
      <c r="F21" s="12" t="str">
        <f aca="false">IF(A21&lt;&gt;"",MIN(0,E21-MAX($E$6:E21)),"")</f>
        <v/>
      </c>
      <c r="G21" s="36" t="str">
        <f aca="false">IF(A21&lt;&gt;"",IFERROR(F21/MAX($E$6:E21),0),"")</f>
        <v/>
      </c>
    </row>
    <row r="22" customFormat="false" ht="15" hidden="false" customHeight="false" outlineLevel="0" collapsed="false">
      <c r="A22" s="4" t="str">
        <f aca="false">IF('📋 Trade Log'!B20&lt;&gt;"",'📋 Trade Log'!A20,"")</f>
        <v/>
      </c>
      <c r="B22" s="5" t="str">
        <f aca="false">IF('📋 Trade Log'!B20&lt;&gt;"",'📋 Trade Log'!B20,"")</f>
        <v/>
      </c>
      <c r="C22" s="7" t="str">
        <f aca="false">IF('📋 Trade Log'!L20&lt;&gt;"",'📋 Trade Log'!L20,"")</f>
        <v/>
      </c>
      <c r="D22" s="7" t="str">
        <f aca="false">IF(A22&lt;&gt;"",SUM($C$6:C22),"")</f>
        <v/>
      </c>
      <c r="E22" s="7" t="str">
        <f aca="false">IF(A22&lt;&gt;"",B$3+D22,"")</f>
        <v/>
      </c>
      <c r="F22" s="7" t="str">
        <f aca="false">IF(A22&lt;&gt;"",MIN(0,E22-MAX($E$6:E22)),"")</f>
        <v/>
      </c>
      <c r="G22" s="35" t="str">
        <f aca="false">IF(A22&lt;&gt;"",IFERROR(F22/MAX($E$6:E22),0),"")</f>
        <v/>
      </c>
    </row>
    <row r="23" customFormat="false" ht="15" hidden="false" customHeight="false" outlineLevel="0" collapsed="false">
      <c r="A23" s="9" t="str">
        <f aca="false">IF('📋 Trade Log'!B21&lt;&gt;"",'📋 Trade Log'!A21,"")</f>
        <v/>
      </c>
      <c r="B23" s="10" t="str">
        <f aca="false">IF('📋 Trade Log'!B21&lt;&gt;"",'📋 Trade Log'!B21,"")</f>
        <v/>
      </c>
      <c r="C23" s="12" t="str">
        <f aca="false">IF('📋 Trade Log'!L21&lt;&gt;"",'📋 Trade Log'!L21,"")</f>
        <v/>
      </c>
      <c r="D23" s="12" t="str">
        <f aca="false">IF(A23&lt;&gt;"",SUM($C$6:C23),"")</f>
        <v/>
      </c>
      <c r="E23" s="12" t="str">
        <f aca="false">IF(A23&lt;&gt;"",B$3+D23,"")</f>
        <v/>
      </c>
      <c r="F23" s="12" t="str">
        <f aca="false">IF(A23&lt;&gt;"",MIN(0,E23-MAX($E$6:E23)),"")</f>
        <v/>
      </c>
      <c r="G23" s="36" t="str">
        <f aca="false">IF(A23&lt;&gt;"",IFERROR(F23/MAX($E$6:E23),0),"")</f>
        <v/>
      </c>
    </row>
    <row r="24" customFormat="false" ht="15" hidden="false" customHeight="false" outlineLevel="0" collapsed="false">
      <c r="A24" s="4" t="str">
        <f aca="false">IF('📋 Trade Log'!B22&lt;&gt;"",'📋 Trade Log'!A22,"")</f>
        <v/>
      </c>
      <c r="B24" s="5" t="str">
        <f aca="false">IF('📋 Trade Log'!B22&lt;&gt;"",'📋 Trade Log'!B22,"")</f>
        <v/>
      </c>
      <c r="C24" s="7" t="str">
        <f aca="false">IF('📋 Trade Log'!L22&lt;&gt;"",'📋 Trade Log'!L22,"")</f>
        <v/>
      </c>
      <c r="D24" s="7" t="str">
        <f aca="false">IF(A24&lt;&gt;"",SUM($C$6:C24),"")</f>
        <v/>
      </c>
      <c r="E24" s="7" t="str">
        <f aca="false">IF(A24&lt;&gt;"",B$3+D24,"")</f>
        <v/>
      </c>
      <c r="F24" s="7" t="str">
        <f aca="false">IF(A24&lt;&gt;"",MIN(0,E24-MAX($E$6:E24)),"")</f>
        <v/>
      </c>
      <c r="G24" s="35" t="str">
        <f aca="false">IF(A24&lt;&gt;"",IFERROR(F24/MAX($E$6:E24),0),"")</f>
        <v/>
      </c>
    </row>
    <row r="25" customFormat="false" ht="15" hidden="false" customHeight="false" outlineLevel="0" collapsed="false">
      <c r="A25" s="9" t="str">
        <f aca="false">IF('📋 Trade Log'!B23&lt;&gt;"",'📋 Trade Log'!A23,"")</f>
        <v/>
      </c>
      <c r="B25" s="10" t="str">
        <f aca="false">IF('📋 Trade Log'!B23&lt;&gt;"",'📋 Trade Log'!B23,"")</f>
        <v/>
      </c>
      <c r="C25" s="12" t="str">
        <f aca="false">IF('📋 Trade Log'!L23&lt;&gt;"",'📋 Trade Log'!L23,"")</f>
        <v/>
      </c>
      <c r="D25" s="12" t="str">
        <f aca="false">IF(A25&lt;&gt;"",SUM($C$6:C25),"")</f>
        <v/>
      </c>
      <c r="E25" s="12" t="str">
        <f aca="false">IF(A25&lt;&gt;"",B$3+D25,"")</f>
        <v/>
      </c>
      <c r="F25" s="12" t="str">
        <f aca="false">IF(A25&lt;&gt;"",MIN(0,E25-MAX($E$6:E25)),"")</f>
        <v/>
      </c>
      <c r="G25" s="36" t="str">
        <f aca="false">IF(A25&lt;&gt;"",IFERROR(F25/MAX($E$6:E25),0),"")</f>
        <v/>
      </c>
    </row>
    <row r="26" customFormat="false" ht="15" hidden="false" customHeight="false" outlineLevel="0" collapsed="false">
      <c r="A26" s="4" t="str">
        <f aca="false">IF('📋 Trade Log'!B24&lt;&gt;"",'📋 Trade Log'!A24,"")</f>
        <v/>
      </c>
      <c r="B26" s="5" t="str">
        <f aca="false">IF('📋 Trade Log'!B24&lt;&gt;"",'📋 Trade Log'!B24,"")</f>
        <v/>
      </c>
      <c r="C26" s="7" t="str">
        <f aca="false">IF('📋 Trade Log'!L24&lt;&gt;"",'📋 Trade Log'!L24,"")</f>
        <v/>
      </c>
      <c r="D26" s="7" t="str">
        <f aca="false">IF(A26&lt;&gt;"",SUM($C$6:C26),"")</f>
        <v/>
      </c>
      <c r="E26" s="7" t="str">
        <f aca="false">IF(A26&lt;&gt;"",B$3+D26,"")</f>
        <v/>
      </c>
      <c r="F26" s="7" t="str">
        <f aca="false">IF(A26&lt;&gt;"",MIN(0,E26-MAX($E$6:E26)),"")</f>
        <v/>
      </c>
      <c r="G26" s="35" t="str">
        <f aca="false">IF(A26&lt;&gt;"",IFERROR(F26/MAX($E$6:E26),0),"")</f>
        <v/>
      </c>
    </row>
    <row r="27" customFormat="false" ht="15" hidden="false" customHeight="false" outlineLevel="0" collapsed="false">
      <c r="A27" s="9" t="str">
        <f aca="false">IF('📋 Trade Log'!B25&lt;&gt;"",'📋 Trade Log'!A25,"")</f>
        <v/>
      </c>
      <c r="B27" s="10" t="str">
        <f aca="false">IF('📋 Trade Log'!B25&lt;&gt;"",'📋 Trade Log'!B25,"")</f>
        <v/>
      </c>
      <c r="C27" s="12" t="str">
        <f aca="false">IF('📋 Trade Log'!L25&lt;&gt;"",'📋 Trade Log'!L25,"")</f>
        <v/>
      </c>
      <c r="D27" s="12" t="str">
        <f aca="false">IF(A27&lt;&gt;"",SUM($C$6:C27),"")</f>
        <v/>
      </c>
      <c r="E27" s="12" t="str">
        <f aca="false">IF(A27&lt;&gt;"",B$3+D27,"")</f>
        <v/>
      </c>
      <c r="F27" s="12" t="str">
        <f aca="false">IF(A27&lt;&gt;"",MIN(0,E27-MAX($E$6:E27)),"")</f>
        <v/>
      </c>
      <c r="G27" s="36" t="str">
        <f aca="false">IF(A27&lt;&gt;"",IFERROR(F27/MAX($E$6:E27),0),"")</f>
        <v/>
      </c>
    </row>
    <row r="28" customFormat="false" ht="15" hidden="false" customHeight="false" outlineLevel="0" collapsed="false">
      <c r="A28" s="4" t="str">
        <f aca="false">IF('📋 Trade Log'!B26&lt;&gt;"",'📋 Trade Log'!A26,"")</f>
        <v/>
      </c>
      <c r="B28" s="5" t="str">
        <f aca="false">IF('📋 Trade Log'!B26&lt;&gt;"",'📋 Trade Log'!B26,"")</f>
        <v/>
      </c>
      <c r="C28" s="7" t="str">
        <f aca="false">IF('📋 Trade Log'!L26&lt;&gt;"",'📋 Trade Log'!L26,"")</f>
        <v/>
      </c>
      <c r="D28" s="7" t="str">
        <f aca="false">IF(A28&lt;&gt;"",SUM($C$6:C28),"")</f>
        <v/>
      </c>
      <c r="E28" s="7" t="str">
        <f aca="false">IF(A28&lt;&gt;"",B$3+D28,"")</f>
        <v/>
      </c>
      <c r="F28" s="7" t="str">
        <f aca="false">IF(A28&lt;&gt;"",MIN(0,E28-MAX($E$6:E28)),"")</f>
        <v/>
      </c>
      <c r="G28" s="35" t="str">
        <f aca="false">IF(A28&lt;&gt;"",IFERROR(F28/MAX($E$6:E28),0),"")</f>
        <v/>
      </c>
    </row>
    <row r="29" customFormat="false" ht="15" hidden="false" customHeight="false" outlineLevel="0" collapsed="false">
      <c r="A29" s="9" t="str">
        <f aca="false">IF('📋 Trade Log'!B27&lt;&gt;"",'📋 Trade Log'!A27,"")</f>
        <v/>
      </c>
      <c r="B29" s="10" t="str">
        <f aca="false">IF('📋 Trade Log'!B27&lt;&gt;"",'📋 Trade Log'!B27,"")</f>
        <v/>
      </c>
      <c r="C29" s="12" t="str">
        <f aca="false">IF('📋 Trade Log'!L27&lt;&gt;"",'📋 Trade Log'!L27,"")</f>
        <v/>
      </c>
      <c r="D29" s="12" t="str">
        <f aca="false">IF(A29&lt;&gt;"",SUM($C$6:C29),"")</f>
        <v/>
      </c>
      <c r="E29" s="12" t="str">
        <f aca="false">IF(A29&lt;&gt;"",B$3+D29,"")</f>
        <v/>
      </c>
      <c r="F29" s="12" t="str">
        <f aca="false">IF(A29&lt;&gt;"",MIN(0,E29-MAX($E$6:E29)),"")</f>
        <v/>
      </c>
      <c r="G29" s="36" t="str">
        <f aca="false">IF(A29&lt;&gt;"",IFERROR(F29/MAX($E$6:E29),0),"")</f>
        <v/>
      </c>
    </row>
    <row r="30" customFormat="false" ht="15" hidden="false" customHeight="false" outlineLevel="0" collapsed="false">
      <c r="A30" s="4" t="str">
        <f aca="false">IF('📋 Trade Log'!B28&lt;&gt;"",'📋 Trade Log'!A28,"")</f>
        <v/>
      </c>
      <c r="B30" s="5" t="str">
        <f aca="false">IF('📋 Trade Log'!B28&lt;&gt;"",'📋 Trade Log'!B28,"")</f>
        <v/>
      </c>
      <c r="C30" s="7" t="str">
        <f aca="false">IF('📋 Trade Log'!L28&lt;&gt;"",'📋 Trade Log'!L28,"")</f>
        <v/>
      </c>
      <c r="D30" s="7" t="str">
        <f aca="false">IF(A30&lt;&gt;"",SUM($C$6:C30),"")</f>
        <v/>
      </c>
      <c r="E30" s="7" t="str">
        <f aca="false">IF(A30&lt;&gt;"",B$3+D30,"")</f>
        <v/>
      </c>
      <c r="F30" s="7" t="str">
        <f aca="false">IF(A30&lt;&gt;"",MIN(0,E30-MAX($E$6:E30)),"")</f>
        <v/>
      </c>
      <c r="G30" s="35" t="str">
        <f aca="false">IF(A30&lt;&gt;"",IFERROR(F30/MAX($E$6:E30),0),"")</f>
        <v/>
      </c>
    </row>
    <row r="31" customFormat="false" ht="15" hidden="false" customHeight="false" outlineLevel="0" collapsed="false">
      <c r="A31" s="9" t="str">
        <f aca="false">IF('📋 Trade Log'!B29&lt;&gt;"",'📋 Trade Log'!A29,"")</f>
        <v/>
      </c>
      <c r="B31" s="10" t="str">
        <f aca="false">IF('📋 Trade Log'!B29&lt;&gt;"",'📋 Trade Log'!B29,"")</f>
        <v/>
      </c>
      <c r="C31" s="12" t="str">
        <f aca="false">IF('📋 Trade Log'!L29&lt;&gt;"",'📋 Trade Log'!L29,"")</f>
        <v/>
      </c>
      <c r="D31" s="12" t="str">
        <f aca="false">IF(A31&lt;&gt;"",SUM($C$6:C31),"")</f>
        <v/>
      </c>
      <c r="E31" s="12" t="str">
        <f aca="false">IF(A31&lt;&gt;"",B$3+D31,"")</f>
        <v/>
      </c>
      <c r="F31" s="12" t="str">
        <f aca="false">IF(A31&lt;&gt;"",MIN(0,E31-MAX($E$6:E31)),"")</f>
        <v/>
      </c>
      <c r="G31" s="36" t="str">
        <f aca="false">IF(A31&lt;&gt;"",IFERROR(F31/MAX($E$6:E31),0),"")</f>
        <v/>
      </c>
    </row>
    <row r="32" customFormat="false" ht="15" hidden="false" customHeight="false" outlineLevel="0" collapsed="false">
      <c r="A32" s="4" t="str">
        <f aca="false">IF('📋 Trade Log'!B30&lt;&gt;"",'📋 Trade Log'!A30,"")</f>
        <v/>
      </c>
      <c r="B32" s="5" t="str">
        <f aca="false">IF('📋 Trade Log'!B30&lt;&gt;"",'📋 Trade Log'!B30,"")</f>
        <v/>
      </c>
      <c r="C32" s="7" t="str">
        <f aca="false">IF('📋 Trade Log'!L30&lt;&gt;"",'📋 Trade Log'!L30,"")</f>
        <v/>
      </c>
      <c r="D32" s="7" t="str">
        <f aca="false">IF(A32&lt;&gt;"",SUM($C$6:C32),"")</f>
        <v/>
      </c>
      <c r="E32" s="7" t="str">
        <f aca="false">IF(A32&lt;&gt;"",B$3+D32,"")</f>
        <v/>
      </c>
      <c r="F32" s="7" t="str">
        <f aca="false">IF(A32&lt;&gt;"",MIN(0,E32-MAX($E$6:E32)),"")</f>
        <v/>
      </c>
      <c r="G32" s="35" t="str">
        <f aca="false">IF(A32&lt;&gt;"",IFERROR(F32/MAX($E$6:E32),0),"")</f>
        <v/>
      </c>
    </row>
    <row r="33" customFormat="false" ht="15" hidden="false" customHeight="false" outlineLevel="0" collapsed="false">
      <c r="A33" s="9" t="str">
        <f aca="false">IF('📋 Trade Log'!B31&lt;&gt;"",'📋 Trade Log'!A31,"")</f>
        <v/>
      </c>
      <c r="B33" s="10" t="str">
        <f aca="false">IF('📋 Trade Log'!B31&lt;&gt;"",'📋 Trade Log'!B31,"")</f>
        <v/>
      </c>
      <c r="C33" s="12" t="str">
        <f aca="false">IF('📋 Trade Log'!L31&lt;&gt;"",'📋 Trade Log'!L31,"")</f>
        <v/>
      </c>
      <c r="D33" s="12" t="str">
        <f aca="false">IF(A33&lt;&gt;"",SUM($C$6:C33),"")</f>
        <v/>
      </c>
      <c r="E33" s="12" t="str">
        <f aca="false">IF(A33&lt;&gt;"",B$3+D33,"")</f>
        <v/>
      </c>
      <c r="F33" s="12" t="str">
        <f aca="false">IF(A33&lt;&gt;"",MIN(0,E33-MAX($E$6:E33)),"")</f>
        <v/>
      </c>
      <c r="G33" s="36" t="str">
        <f aca="false">IF(A33&lt;&gt;"",IFERROR(F33/MAX($E$6:E33),0),"")</f>
        <v/>
      </c>
    </row>
    <row r="34" customFormat="false" ht="15" hidden="false" customHeight="false" outlineLevel="0" collapsed="false">
      <c r="A34" s="4" t="str">
        <f aca="false">IF('📋 Trade Log'!B32&lt;&gt;"",'📋 Trade Log'!A32,"")</f>
        <v/>
      </c>
      <c r="B34" s="5" t="str">
        <f aca="false">IF('📋 Trade Log'!B32&lt;&gt;"",'📋 Trade Log'!B32,"")</f>
        <v/>
      </c>
      <c r="C34" s="7" t="str">
        <f aca="false">IF('📋 Trade Log'!L32&lt;&gt;"",'📋 Trade Log'!L32,"")</f>
        <v/>
      </c>
      <c r="D34" s="7" t="str">
        <f aca="false">IF(A34&lt;&gt;"",SUM($C$6:C34),"")</f>
        <v/>
      </c>
      <c r="E34" s="7" t="str">
        <f aca="false">IF(A34&lt;&gt;"",B$3+D34,"")</f>
        <v/>
      </c>
      <c r="F34" s="7" t="str">
        <f aca="false">IF(A34&lt;&gt;"",MIN(0,E34-MAX($E$6:E34)),"")</f>
        <v/>
      </c>
      <c r="G34" s="35" t="str">
        <f aca="false">IF(A34&lt;&gt;"",IFERROR(F34/MAX($E$6:E34),0),"")</f>
        <v/>
      </c>
    </row>
    <row r="35" customFormat="false" ht="15" hidden="false" customHeight="false" outlineLevel="0" collapsed="false">
      <c r="A35" s="9" t="str">
        <f aca="false">IF('📋 Trade Log'!B33&lt;&gt;"",'📋 Trade Log'!A33,"")</f>
        <v/>
      </c>
      <c r="B35" s="10" t="str">
        <f aca="false">IF('📋 Trade Log'!B33&lt;&gt;"",'📋 Trade Log'!B33,"")</f>
        <v/>
      </c>
      <c r="C35" s="12" t="str">
        <f aca="false">IF('📋 Trade Log'!L33&lt;&gt;"",'📋 Trade Log'!L33,"")</f>
        <v/>
      </c>
      <c r="D35" s="12" t="str">
        <f aca="false">IF(A35&lt;&gt;"",SUM($C$6:C35),"")</f>
        <v/>
      </c>
      <c r="E35" s="12" t="str">
        <f aca="false">IF(A35&lt;&gt;"",B$3+D35,"")</f>
        <v/>
      </c>
      <c r="F35" s="12" t="str">
        <f aca="false">IF(A35&lt;&gt;"",MIN(0,E35-MAX($E$6:E35)),"")</f>
        <v/>
      </c>
      <c r="G35" s="36" t="str">
        <f aca="false">IF(A35&lt;&gt;"",IFERROR(F35/MAX($E$6:E35),0),"")</f>
        <v/>
      </c>
    </row>
    <row r="36" customFormat="false" ht="15" hidden="false" customHeight="false" outlineLevel="0" collapsed="false">
      <c r="A36" s="4" t="str">
        <f aca="false">IF('📋 Trade Log'!B34&lt;&gt;"",'📋 Trade Log'!A34,"")</f>
        <v/>
      </c>
      <c r="B36" s="5" t="str">
        <f aca="false">IF('📋 Trade Log'!B34&lt;&gt;"",'📋 Trade Log'!B34,"")</f>
        <v/>
      </c>
      <c r="C36" s="7" t="str">
        <f aca="false">IF('📋 Trade Log'!L34&lt;&gt;"",'📋 Trade Log'!L34,"")</f>
        <v/>
      </c>
      <c r="D36" s="7" t="str">
        <f aca="false">IF(A36&lt;&gt;"",SUM($C$6:C36),"")</f>
        <v/>
      </c>
      <c r="E36" s="7" t="str">
        <f aca="false">IF(A36&lt;&gt;"",B$3+D36,"")</f>
        <v/>
      </c>
      <c r="F36" s="7" t="str">
        <f aca="false">IF(A36&lt;&gt;"",MIN(0,E36-MAX($E$6:E36)),"")</f>
        <v/>
      </c>
      <c r="G36" s="35" t="str">
        <f aca="false">IF(A36&lt;&gt;"",IFERROR(F36/MAX($E$6:E36),0),"")</f>
        <v/>
      </c>
    </row>
    <row r="37" customFormat="false" ht="15" hidden="false" customHeight="false" outlineLevel="0" collapsed="false">
      <c r="A37" s="9" t="str">
        <f aca="false">IF('📋 Trade Log'!B35&lt;&gt;"",'📋 Trade Log'!A35,"")</f>
        <v/>
      </c>
      <c r="B37" s="10" t="str">
        <f aca="false">IF('📋 Trade Log'!B35&lt;&gt;"",'📋 Trade Log'!B35,"")</f>
        <v/>
      </c>
      <c r="C37" s="12" t="str">
        <f aca="false">IF('📋 Trade Log'!L35&lt;&gt;"",'📋 Trade Log'!L35,"")</f>
        <v/>
      </c>
      <c r="D37" s="12" t="str">
        <f aca="false">IF(A37&lt;&gt;"",SUM($C$6:C37),"")</f>
        <v/>
      </c>
      <c r="E37" s="12" t="str">
        <f aca="false">IF(A37&lt;&gt;"",B$3+D37,"")</f>
        <v/>
      </c>
      <c r="F37" s="12" t="str">
        <f aca="false">IF(A37&lt;&gt;"",MIN(0,E37-MAX($E$6:E37)),"")</f>
        <v/>
      </c>
      <c r="G37" s="36" t="str">
        <f aca="false">IF(A37&lt;&gt;"",IFERROR(F37/MAX($E$6:E37),0),"")</f>
        <v/>
      </c>
    </row>
    <row r="38" customFormat="false" ht="15" hidden="false" customHeight="false" outlineLevel="0" collapsed="false">
      <c r="A38" s="4" t="str">
        <f aca="false">IF('📋 Trade Log'!B36&lt;&gt;"",'📋 Trade Log'!A36,"")</f>
        <v/>
      </c>
      <c r="B38" s="5" t="str">
        <f aca="false">IF('📋 Trade Log'!B36&lt;&gt;"",'📋 Trade Log'!B36,"")</f>
        <v/>
      </c>
      <c r="C38" s="7" t="str">
        <f aca="false">IF('📋 Trade Log'!L36&lt;&gt;"",'📋 Trade Log'!L36,"")</f>
        <v/>
      </c>
      <c r="D38" s="7" t="str">
        <f aca="false">IF(A38&lt;&gt;"",SUM($C$6:C38),"")</f>
        <v/>
      </c>
      <c r="E38" s="7" t="str">
        <f aca="false">IF(A38&lt;&gt;"",B$3+D38,"")</f>
        <v/>
      </c>
      <c r="F38" s="7" t="str">
        <f aca="false">IF(A38&lt;&gt;"",MIN(0,E38-MAX($E$6:E38)),"")</f>
        <v/>
      </c>
      <c r="G38" s="35" t="str">
        <f aca="false">IF(A38&lt;&gt;"",IFERROR(F38/MAX($E$6:E38),0),"")</f>
        <v/>
      </c>
    </row>
    <row r="39" customFormat="false" ht="15" hidden="false" customHeight="false" outlineLevel="0" collapsed="false">
      <c r="A39" s="9" t="str">
        <f aca="false">IF('📋 Trade Log'!B37&lt;&gt;"",'📋 Trade Log'!A37,"")</f>
        <v/>
      </c>
      <c r="B39" s="10" t="str">
        <f aca="false">IF('📋 Trade Log'!B37&lt;&gt;"",'📋 Trade Log'!B37,"")</f>
        <v/>
      </c>
      <c r="C39" s="12" t="str">
        <f aca="false">IF('📋 Trade Log'!L37&lt;&gt;"",'📋 Trade Log'!L37,"")</f>
        <v/>
      </c>
      <c r="D39" s="12" t="str">
        <f aca="false">IF(A39&lt;&gt;"",SUM($C$6:C39),"")</f>
        <v/>
      </c>
      <c r="E39" s="12" t="str">
        <f aca="false">IF(A39&lt;&gt;"",B$3+D39,"")</f>
        <v/>
      </c>
      <c r="F39" s="12" t="str">
        <f aca="false">IF(A39&lt;&gt;"",MIN(0,E39-MAX($E$6:E39)),"")</f>
        <v/>
      </c>
      <c r="G39" s="36" t="str">
        <f aca="false">IF(A39&lt;&gt;"",IFERROR(F39/MAX($E$6:E39),0),"")</f>
        <v/>
      </c>
    </row>
    <row r="40" customFormat="false" ht="15" hidden="false" customHeight="false" outlineLevel="0" collapsed="false">
      <c r="A40" s="4" t="str">
        <f aca="false">IF('📋 Trade Log'!B38&lt;&gt;"",'📋 Trade Log'!A38,"")</f>
        <v/>
      </c>
      <c r="B40" s="5" t="str">
        <f aca="false">IF('📋 Trade Log'!B38&lt;&gt;"",'📋 Trade Log'!B38,"")</f>
        <v/>
      </c>
      <c r="C40" s="7" t="str">
        <f aca="false">IF('📋 Trade Log'!L38&lt;&gt;"",'📋 Trade Log'!L38,"")</f>
        <v/>
      </c>
      <c r="D40" s="7" t="str">
        <f aca="false">IF(A40&lt;&gt;"",SUM($C$6:C40),"")</f>
        <v/>
      </c>
      <c r="E40" s="7" t="str">
        <f aca="false">IF(A40&lt;&gt;"",B$3+D40,"")</f>
        <v/>
      </c>
      <c r="F40" s="7" t="str">
        <f aca="false">IF(A40&lt;&gt;"",MIN(0,E40-MAX($E$6:E40)),"")</f>
        <v/>
      </c>
      <c r="G40" s="35" t="str">
        <f aca="false">IF(A40&lt;&gt;"",IFERROR(F40/MAX($E$6:E40),0),"")</f>
        <v/>
      </c>
    </row>
    <row r="41" customFormat="false" ht="15" hidden="false" customHeight="false" outlineLevel="0" collapsed="false">
      <c r="A41" s="9" t="str">
        <f aca="false">IF('📋 Trade Log'!B39&lt;&gt;"",'📋 Trade Log'!A39,"")</f>
        <v/>
      </c>
      <c r="B41" s="10" t="str">
        <f aca="false">IF('📋 Trade Log'!B39&lt;&gt;"",'📋 Trade Log'!B39,"")</f>
        <v/>
      </c>
      <c r="C41" s="12" t="str">
        <f aca="false">IF('📋 Trade Log'!L39&lt;&gt;"",'📋 Trade Log'!L39,"")</f>
        <v/>
      </c>
      <c r="D41" s="12" t="str">
        <f aca="false">IF(A41&lt;&gt;"",SUM($C$6:C41),"")</f>
        <v/>
      </c>
      <c r="E41" s="12" t="str">
        <f aca="false">IF(A41&lt;&gt;"",B$3+D41,"")</f>
        <v/>
      </c>
      <c r="F41" s="12" t="str">
        <f aca="false">IF(A41&lt;&gt;"",MIN(0,E41-MAX($E$6:E41)),"")</f>
        <v/>
      </c>
      <c r="G41" s="36" t="str">
        <f aca="false">IF(A41&lt;&gt;"",IFERROR(F41/MAX($E$6:E41),0),"")</f>
        <v/>
      </c>
    </row>
    <row r="42" customFormat="false" ht="15" hidden="false" customHeight="false" outlineLevel="0" collapsed="false">
      <c r="A42" s="4" t="str">
        <f aca="false">IF('📋 Trade Log'!B40&lt;&gt;"",'📋 Trade Log'!A40,"")</f>
        <v/>
      </c>
      <c r="B42" s="5" t="str">
        <f aca="false">IF('📋 Trade Log'!B40&lt;&gt;"",'📋 Trade Log'!B40,"")</f>
        <v/>
      </c>
      <c r="C42" s="7" t="str">
        <f aca="false">IF('📋 Trade Log'!L40&lt;&gt;"",'📋 Trade Log'!L40,"")</f>
        <v/>
      </c>
      <c r="D42" s="7" t="str">
        <f aca="false">IF(A42&lt;&gt;"",SUM($C$6:C42),"")</f>
        <v/>
      </c>
      <c r="E42" s="7" t="str">
        <f aca="false">IF(A42&lt;&gt;"",B$3+D42,"")</f>
        <v/>
      </c>
      <c r="F42" s="7" t="str">
        <f aca="false">IF(A42&lt;&gt;"",MIN(0,E42-MAX($E$6:E42)),"")</f>
        <v/>
      </c>
      <c r="G42" s="35" t="str">
        <f aca="false">IF(A42&lt;&gt;"",IFERROR(F42/MAX($E$6:E42),0),"")</f>
        <v/>
      </c>
    </row>
    <row r="43" customFormat="false" ht="15" hidden="false" customHeight="false" outlineLevel="0" collapsed="false">
      <c r="A43" s="9" t="str">
        <f aca="false">IF('📋 Trade Log'!B41&lt;&gt;"",'📋 Trade Log'!A41,"")</f>
        <v/>
      </c>
      <c r="B43" s="10" t="str">
        <f aca="false">IF('📋 Trade Log'!B41&lt;&gt;"",'📋 Trade Log'!B41,"")</f>
        <v/>
      </c>
      <c r="C43" s="12" t="str">
        <f aca="false">IF('📋 Trade Log'!L41&lt;&gt;"",'📋 Trade Log'!L41,"")</f>
        <v/>
      </c>
      <c r="D43" s="12" t="str">
        <f aca="false">IF(A43&lt;&gt;"",SUM($C$6:C43),"")</f>
        <v/>
      </c>
      <c r="E43" s="12" t="str">
        <f aca="false">IF(A43&lt;&gt;"",B$3+D43,"")</f>
        <v/>
      </c>
      <c r="F43" s="12" t="str">
        <f aca="false">IF(A43&lt;&gt;"",MIN(0,E43-MAX($E$6:E43)),"")</f>
        <v/>
      </c>
      <c r="G43" s="36" t="str">
        <f aca="false">IF(A43&lt;&gt;"",IFERROR(F43/MAX($E$6:E43),0),"")</f>
        <v/>
      </c>
    </row>
    <row r="44" customFormat="false" ht="15" hidden="false" customHeight="false" outlineLevel="0" collapsed="false">
      <c r="A44" s="4" t="str">
        <f aca="false">IF('📋 Trade Log'!B42&lt;&gt;"",'📋 Trade Log'!A42,"")</f>
        <v/>
      </c>
      <c r="B44" s="5" t="str">
        <f aca="false">IF('📋 Trade Log'!B42&lt;&gt;"",'📋 Trade Log'!B42,"")</f>
        <v/>
      </c>
      <c r="C44" s="7" t="str">
        <f aca="false">IF('📋 Trade Log'!L42&lt;&gt;"",'📋 Trade Log'!L42,"")</f>
        <v/>
      </c>
      <c r="D44" s="7" t="str">
        <f aca="false">IF(A44&lt;&gt;"",SUM($C$6:C44),"")</f>
        <v/>
      </c>
      <c r="E44" s="7" t="str">
        <f aca="false">IF(A44&lt;&gt;"",B$3+D44,"")</f>
        <v/>
      </c>
      <c r="F44" s="7" t="str">
        <f aca="false">IF(A44&lt;&gt;"",MIN(0,E44-MAX($E$6:E44)),"")</f>
        <v/>
      </c>
      <c r="G44" s="35" t="str">
        <f aca="false">IF(A44&lt;&gt;"",IFERROR(F44/MAX($E$6:E44),0),"")</f>
        <v/>
      </c>
    </row>
    <row r="45" customFormat="false" ht="15" hidden="false" customHeight="false" outlineLevel="0" collapsed="false">
      <c r="A45" s="9" t="str">
        <f aca="false">IF('📋 Trade Log'!B43&lt;&gt;"",'📋 Trade Log'!A43,"")</f>
        <v/>
      </c>
      <c r="B45" s="10" t="str">
        <f aca="false">IF('📋 Trade Log'!B43&lt;&gt;"",'📋 Trade Log'!B43,"")</f>
        <v/>
      </c>
      <c r="C45" s="12" t="str">
        <f aca="false">IF('📋 Trade Log'!L43&lt;&gt;"",'📋 Trade Log'!L43,"")</f>
        <v/>
      </c>
      <c r="D45" s="12" t="str">
        <f aca="false">IF(A45&lt;&gt;"",SUM($C$6:C45),"")</f>
        <v/>
      </c>
      <c r="E45" s="12" t="str">
        <f aca="false">IF(A45&lt;&gt;"",B$3+D45,"")</f>
        <v/>
      </c>
      <c r="F45" s="12" t="str">
        <f aca="false">IF(A45&lt;&gt;"",MIN(0,E45-MAX($E$6:E45)),"")</f>
        <v/>
      </c>
      <c r="G45" s="36" t="str">
        <f aca="false">IF(A45&lt;&gt;"",IFERROR(F45/MAX($E$6:E45),0),"")</f>
        <v/>
      </c>
    </row>
    <row r="46" customFormat="false" ht="15" hidden="false" customHeight="false" outlineLevel="0" collapsed="false">
      <c r="A46" s="4" t="str">
        <f aca="false">IF('📋 Trade Log'!B44&lt;&gt;"",'📋 Trade Log'!A44,"")</f>
        <v/>
      </c>
      <c r="B46" s="5" t="str">
        <f aca="false">IF('📋 Trade Log'!B44&lt;&gt;"",'📋 Trade Log'!B44,"")</f>
        <v/>
      </c>
      <c r="C46" s="7" t="str">
        <f aca="false">IF('📋 Trade Log'!L44&lt;&gt;"",'📋 Trade Log'!L44,"")</f>
        <v/>
      </c>
      <c r="D46" s="7" t="str">
        <f aca="false">IF(A46&lt;&gt;"",SUM($C$6:C46),"")</f>
        <v/>
      </c>
      <c r="E46" s="7" t="str">
        <f aca="false">IF(A46&lt;&gt;"",B$3+D46,"")</f>
        <v/>
      </c>
      <c r="F46" s="7" t="str">
        <f aca="false">IF(A46&lt;&gt;"",MIN(0,E46-MAX($E$6:E46)),"")</f>
        <v/>
      </c>
      <c r="G46" s="35" t="str">
        <f aca="false">IF(A46&lt;&gt;"",IFERROR(F46/MAX($E$6:E46),0),"")</f>
        <v/>
      </c>
    </row>
    <row r="47" customFormat="false" ht="15" hidden="false" customHeight="false" outlineLevel="0" collapsed="false">
      <c r="A47" s="9" t="str">
        <f aca="false">IF('📋 Trade Log'!B45&lt;&gt;"",'📋 Trade Log'!A45,"")</f>
        <v/>
      </c>
      <c r="B47" s="10" t="str">
        <f aca="false">IF('📋 Trade Log'!B45&lt;&gt;"",'📋 Trade Log'!B45,"")</f>
        <v/>
      </c>
      <c r="C47" s="12" t="str">
        <f aca="false">IF('📋 Trade Log'!L45&lt;&gt;"",'📋 Trade Log'!L45,"")</f>
        <v/>
      </c>
      <c r="D47" s="12" t="str">
        <f aca="false">IF(A47&lt;&gt;"",SUM($C$6:C47),"")</f>
        <v/>
      </c>
      <c r="E47" s="12" t="str">
        <f aca="false">IF(A47&lt;&gt;"",B$3+D47,"")</f>
        <v/>
      </c>
      <c r="F47" s="12" t="str">
        <f aca="false">IF(A47&lt;&gt;"",MIN(0,E47-MAX($E$6:E47)),"")</f>
        <v/>
      </c>
      <c r="G47" s="36" t="str">
        <f aca="false">IF(A47&lt;&gt;"",IFERROR(F47/MAX($E$6:E47),0),"")</f>
        <v/>
      </c>
    </row>
    <row r="48" customFormat="false" ht="15" hidden="false" customHeight="false" outlineLevel="0" collapsed="false">
      <c r="A48" s="4" t="str">
        <f aca="false">IF('📋 Trade Log'!B46&lt;&gt;"",'📋 Trade Log'!A46,"")</f>
        <v/>
      </c>
      <c r="B48" s="5" t="str">
        <f aca="false">IF('📋 Trade Log'!B46&lt;&gt;"",'📋 Trade Log'!B46,"")</f>
        <v/>
      </c>
      <c r="C48" s="7" t="str">
        <f aca="false">IF('📋 Trade Log'!L46&lt;&gt;"",'📋 Trade Log'!L46,"")</f>
        <v/>
      </c>
      <c r="D48" s="7" t="str">
        <f aca="false">IF(A48&lt;&gt;"",SUM($C$6:C48),"")</f>
        <v/>
      </c>
      <c r="E48" s="7" t="str">
        <f aca="false">IF(A48&lt;&gt;"",B$3+D48,"")</f>
        <v/>
      </c>
      <c r="F48" s="7" t="str">
        <f aca="false">IF(A48&lt;&gt;"",MIN(0,E48-MAX($E$6:E48)),"")</f>
        <v/>
      </c>
      <c r="G48" s="35" t="str">
        <f aca="false">IF(A48&lt;&gt;"",IFERROR(F48/MAX($E$6:E48),0),"")</f>
        <v/>
      </c>
    </row>
    <row r="49" customFormat="false" ht="15" hidden="false" customHeight="false" outlineLevel="0" collapsed="false">
      <c r="A49" s="9" t="str">
        <f aca="false">IF('📋 Trade Log'!B47&lt;&gt;"",'📋 Trade Log'!A47,"")</f>
        <v/>
      </c>
      <c r="B49" s="10" t="str">
        <f aca="false">IF('📋 Trade Log'!B47&lt;&gt;"",'📋 Trade Log'!B47,"")</f>
        <v/>
      </c>
      <c r="C49" s="12" t="str">
        <f aca="false">IF('📋 Trade Log'!L47&lt;&gt;"",'📋 Trade Log'!L47,"")</f>
        <v/>
      </c>
      <c r="D49" s="12" t="str">
        <f aca="false">IF(A49&lt;&gt;"",SUM($C$6:C49),"")</f>
        <v/>
      </c>
      <c r="E49" s="12" t="str">
        <f aca="false">IF(A49&lt;&gt;"",B$3+D49,"")</f>
        <v/>
      </c>
      <c r="F49" s="12" t="str">
        <f aca="false">IF(A49&lt;&gt;"",MIN(0,E49-MAX($E$6:E49)),"")</f>
        <v/>
      </c>
      <c r="G49" s="36" t="str">
        <f aca="false">IF(A49&lt;&gt;"",IFERROR(F49/MAX($E$6:E49),0),"")</f>
        <v/>
      </c>
    </row>
    <row r="50" customFormat="false" ht="15" hidden="false" customHeight="false" outlineLevel="0" collapsed="false">
      <c r="A50" s="4" t="str">
        <f aca="false">IF('📋 Trade Log'!B48&lt;&gt;"",'📋 Trade Log'!A48,"")</f>
        <v/>
      </c>
      <c r="B50" s="5" t="str">
        <f aca="false">IF('📋 Trade Log'!B48&lt;&gt;"",'📋 Trade Log'!B48,"")</f>
        <v/>
      </c>
      <c r="C50" s="7" t="str">
        <f aca="false">IF('📋 Trade Log'!L48&lt;&gt;"",'📋 Trade Log'!L48,"")</f>
        <v/>
      </c>
      <c r="D50" s="7" t="str">
        <f aca="false">IF(A50&lt;&gt;"",SUM($C$6:C50),"")</f>
        <v/>
      </c>
      <c r="E50" s="7" t="str">
        <f aca="false">IF(A50&lt;&gt;"",B$3+D50,"")</f>
        <v/>
      </c>
      <c r="F50" s="7" t="str">
        <f aca="false">IF(A50&lt;&gt;"",MIN(0,E50-MAX($E$6:E50)),"")</f>
        <v/>
      </c>
      <c r="G50" s="35" t="str">
        <f aca="false">IF(A50&lt;&gt;"",IFERROR(F50/MAX($E$6:E50),0),"")</f>
        <v/>
      </c>
    </row>
    <row r="51" customFormat="false" ht="15" hidden="false" customHeight="false" outlineLevel="0" collapsed="false">
      <c r="A51" s="9" t="str">
        <f aca="false">IF('📋 Trade Log'!B49&lt;&gt;"",'📋 Trade Log'!A49,"")</f>
        <v/>
      </c>
      <c r="B51" s="10" t="str">
        <f aca="false">IF('📋 Trade Log'!B49&lt;&gt;"",'📋 Trade Log'!B49,"")</f>
        <v/>
      </c>
      <c r="C51" s="12" t="str">
        <f aca="false">IF('📋 Trade Log'!L49&lt;&gt;"",'📋 Trade Log'!L49,"")</f>
        <v/>
      </c>
      <c r="D51" s="12" t="str">
        <f aca="false">IF(A51&lt;&gt;"",SUM($C$6:C51),"")</f>
        <v/>
      </c>
      <c r="E51" s="12" t="str">
        <f aca="false">IF(A51&lt;&gt;"",B$3+D51,"")</f>
        <v/>
      </c>
      <c r="F51" s="12" t="str">
        <f aca="false">IF(A51&lt;&gt;"",MIN(0,E51-MAX($E$6:E51)),"")</f>
        <v/>
      </c>
      <c r="G51" s="36" t="str">
        <f aca="false">IF(A51&lt;&gt;"",IFERROR(F51/MAX($E$6:E51),0),"")</f>
        <v/>
      </c>
    </row>
    <row r="52" customFormat="false" ht="15" hidden="false" customHeight="false" outlineLevel="0" collapsed="false">
      <c r="A52" s="4" t="str">
        <f aca="false">IF('📋 Trade Log'!B50&lt;&gt;"",'📋 Trade Log'!A50,"")</f>
        <v/>
      </c>
      <c r="B52" s="5" t="str">
        <f aca="false">IF('📋 Trade Log'!B50&lt;&gt;"",'📋 Trade Log'!B50,"")</f>
        <v/>
      </c>
      <c r="C52" s="7" t="str">
        <f aca="false">IF('📋 Trade Log'!L50&lt;&gt;"",'📋 Trade Log'!L50,"")</f>
        <v/>
      </c>
      <c r="D52" s="7" t="str">
        <f aca="false">IF(A52&lt;&gt;"",SUM($C$6:C52),"")</f>
        <v/>
      </c>
      <c r="E52" s="7" t="str">
        <f aca="false">IF(A52&lt;&gt;"",B$3+D52,"")</f>
        <v/>
      </c>
      <c r="F52" s="7" t="str">
        <f aca="false">IF(A52&lt;&gt;"",MIN(0,E52-MAX($E$6:E52)),"")</f>
        <v/>
      </c>
      <c r="G52" s="35" t="str">
        <f aca="false">IF(A52&lt;&gt;"",IFERROR(F52/MAX($E$6:E52),0),"")</f>
        <v/>
      </c>
    </row>
    <row r="53" customFormat="false" ht="15" hidden="false" customHeight="false" outlineLevel="0" collapsed="false">
      <c r="A53" s="9" t="str">
        <f aca="false">IF('📋 Trade Log'!B51&lt;&gt;"",'📋 Trade Log'!A51,"")</f>
        <v/>
      </c>
      <c r="B53" s="10" t="str">
        <f aca="false">IF('📋 Trade Log'!B51&lt;&gt;"",'📋 Trade Log'!B51,"")</f>
        <v/>
      </c>
      <c r="C53" s="12" t="str">
        <f aca="false">IF('📋 Trade Log'!L51&lt;&gt;"",'📋 Trade Log'!L51,"")</f>
        <v/>
      </c>
      <c r="D53" s="12" t="str">
        <f aca="false">IF(A53&lt;&gt;"",SUM($C$6:C53),"")</f>
        <v/>
      </c>
      <c r="E53" s="12" t="str">
        <f aca="false">IF(A53&lt;&gt;"",B$3+D53,"")</f>
        <v/>
      </c>
      <c r="F53" s="12" t="str">
        <f aca="false">IF(A53&lt;&gt;"",MIN(0,E53-MAX($E$6:E53)),"")</f>
        <v/>
      </c>
      <c r="G53" s="36" t="str">
        <f aca="false">IF(A53&lt;&gt;"",IFERROR(F53/MAX($E$6:E53),0),"")</f>
        <v/>
      </c>
    </row>
    <row r="54" customFormat="false" ht="15" hidden="false" customHeight="false" outlineLevel="0" collapsed="false">
      <c r="A54" s="4" t="str">
        <f aca="false">IF('📋 Trade Log'!B52&lt;&gt;"",'📋 Trade Log'!A52,"")</f>
        <v/>
      </c>
      <c r="B54" s="5" t="str">
        <f aca="false">IF('📋 Trade Log'!B52&lt;&gt;"",'📋 Trade Log'!B52,"")</f>
        <v/>
      </c>
      <c r="C54" s="7" t="str">
        <f aca="false">IF('📋 Trade Log'!L52&lt;&gt;"",'📋 Trade Log'!L52,"")</f>
        <v/>
      </c>
      <c r="D54" s="7" t="str">
        <f aca="false">IF(A54&lt;&gt;"",SUM($C$6:C54),"")</f>
        <v/>
      </c>
      <c r="E54" s="7" t="str">
        <f aca="false">IF(A54&lt;&gt;"",B$3+D54,"")</f>
        <v/>
      </c>
      <c r="F54" s="7" t="str">
        <f aca="false">IF(A54&lt;&gt;"",MIN(0,E54-MAX($E$6:E54)),"")</f>
        <v/>
      </c>
      <c r="G54" s="35" t="str">
        <f aca="false">IF(A54&lt;&gt;"",IFERROR(F54/MAX($E$6:E54),0),"")</f>
        <v/>
      </c>
    </row>
    <row r="55" customFormat="false" ht="15" hidden="false" customHeight="false" outlineLevel="0" collapsed="false">
      <c r="A55" s="9" t="str">
        <f aca="false">IF('📋 Trade Log'!B53&lt;&gt;"",'📋 Trade Log'!A53,"")</f>
        <v/>
      </c>
      <c r="B55" s="10" t="str">
        <f aca="false">IF('📋 Trade Log'!B53&lt;&gt;"",'📋 Trade Log'!B53,"")</f>
        <v/>
      </c>
      <c r="C55" s="12" t="str">
        <f aca="false">IF('📋 Trade Log'!L53&lt;&gt;"",'📋 Trade Log'!L53,"")</f>
        <v/>
      </c>
      <c r="D55" s="12" t="str">
        <f aca="false">IF(A55&lt;&gt;"",SUM($C$6:C55),"")</f>
        <v/>
      </c>
      <c r="E55" s="12" t="str">
        <f aca="false">IF(A55&lt;&gt;"",B$3+D55,"")</f>
        <v/>
      </c>
      <c r="F55" s="12" t="str">
        <f aca="false">IF(A55&lt;&gt;"",MIN(0,E55-MAX($E$6:E55)),"")</f>
        <v/>
      </c>
      <c r="G55" s="36" t="str">
        <f aca="false">IF(A55&lt;&gt;"",IFERROR(F55/MAX($E$6:E55),0),"")</f>
        <v/>
      </c>
    </row>
    <row r="56" customFormat="false" ht="15" hidden="false" customHeight="false" outlineLevel="0" collapsed="false">
      <c r="A56" s="4" t="str">
        <f aca="false">IF('📋 Trade Log'!B54&lt;&gt;"",'📋 Trade Log'!A54,"")</f>
        <v/>
      </c>
      <c r="B56" s="5" t="str">
        <f aca="false">IF('📋 Trade Log'!B54&lt;&gt;"",'📋 Trade Log'!B54,"")</f>
        <v/>
      </c>
      <c r="C56" s="7" t="str">
        <f aca="false">IF('📋 Trade Log'!L54&lt;&gt;"",'📋 Trade Log'!L54,"")</f>
        <v/>
      </c>
      <c r="D56" s="7" t="str">
        <f aca="false">IF(A56&lt;&gt;"",SUM($C$6:C56),"")</f>
        <v/>
      </c>
      <c r="E56" s="7" t="str">
        <f aca="false">IF(A56&lt;&gt;"",B$3+D56,"")</f>
        <v/>
      </c>
      <c r="F56" s="7" t="str">
        <f aca="false">IF(A56&lt;&gt;"",MIN(0,E56-MAX($E$6:E56)),"")</f>
        <v/>
      </c>
      <c r="G56" s="35" t="str">
        <f aca="false">IF(A56&lt;&gt;"",IFERROR(F56/MAX($E$6:E56),0),"")</f>
        <v/>
      </c>
    </row>
    <row r="57" customFormat="false" ht="15" hidden="false" customHeight="false" outlineLevel="0" collapsed="false">
      <c r="A57" s="9" t="str">
        <f aca="false">IF('📋 Trade Log'!B55&lt;&gt;"",'📋 Trade Log'!A55,"")</f>
        <v/>
      </c>
      <c r="B57" s="10" t="str">
        <f aca="false">IF('📋 Trade Log'!B55&lt;&gt;"",'📋 Trade Log'!B55,"")</f>
        <v/>
      </c>
      <c r="C57" s="12" t="str">
        <f aca="false">IF('📋 Trade Log'!L55&lt;&gt;"",'📋 Trade Log'!L55,"")</f>
        <v/>
      </c>
      <c r="D57" s="12" t="str">
        <f aca="false">IF(A57&lt;&gt;"",SUM($C$6:C57),"")</f>
        <v/>
      </c>
      <c r="E57" s="12" t="str">
        <f aca="false">IF(A57&lt;&gt;"",B$3+D57,"")</f>
        <v/>
      </c>
      <c r="F57" s="12" t="str">
        <f aca="false">IF(A57&lt;&gt;"",MIN(0,E57-MAX($E$6:E57)),"")</f>
        <v/>
      </c>
      <c r="G57" s="36" t="str">
        <f aca="false">IF(A57&lt;&gt;"",IFERROR(F57/MAX($E$6:E57),0),"")</f>
        <v/>
      </c>
    </row>
    <row r="58" customFormat="false" ht="15" hidden="false" customHeight="false" outlineLevel="0" collapsed="false">
      <c r="A58" s="4" t="str">
        <f aca="false">IF('📋 Trade Log'!B56&lt;&gt;"",'📋 Trade Log'!A56,"")</f>
        <v/>
      </c>
      <c r="B58" s="5" t="str">
        <f aca="false">IF('📋 Trade Log'!B56&lt;&gt;"",'📋 Trade Log'!B56,"")</f>
        <v/>
      </c>
      <c r="C58" s="7" t="str">
        <f aca="false">IF('📋 Trade Log'!L56&lt;&gt;"",'📋 Trade Log'!L56,"")</f>
        <v/>
      </c>
      <c r="D58" s="7" t="str">
        <f aca="false">IF(A58&lt;&gt;"",SUM($C$6:C58),"")</f>
        <v/>
      </c>
      <c r="E58" s="7" t="str">
        <f aca="false">IF(A58&lt;&gt;"",B$3+D58,"")</f>
        <v/>
      </c>
      <c r="F58" s="7" t="str">
        <f aca="false">IF(A58&lt;&gt;"",MIN(0,E58-MAX($E$6:E58)),"")</f>
        <v/>
      </c>
      <c r="G58" s="35" t="str">
        <f aca="false">IF(A58&lt;&gt;"",IFERROR(F58/MAX($E$6:E58),0),"")</f>
        <v/>
      </c>
    </row>
    <row r="59" customFormat="false" ht="15" hidden="false" customHeight="false" outlineLevel="0" collapsed="false">
      <c r="A59" s="9" t="str">
        <f aca="false">IF('📋 Trade Log'!B57&lt;&gt;"",'📋 Trade Log'!A57,"")</f>
        <v/>
      </c>
      <c r="B59" s="10" t="str">
        <f aca="false">IF('📋 Trade Log'!B57&lt;&gt;"",'📋 Trade Log'!B57,"")</f>
        <v/>
      </c>
      <c r="C59" s="12" t="str">
        <f aca="false">IF('📋 Trade Log'!L57&lt;&gt;"",'📋 Trade Log'!L57,"")</f>
        <v/>
      </c>
      <c r="D59" s="12" t="str">
        <f aca="false">IF(A59&lt;&gt;"",SUM($C$6:C59),"")</f>
        <v/>
      </c>
      <c r="E59" s="12" t="str">
        <f aca="false">IF(A59&lt;&gt;"",B$3+D59,"")</f>
        <v/>
      </c>
      <c r="F59" s="12" t="str">
        <f aca="false">IF(A59&lt;&gt;"",MIN(0,E59-MAX($E$6:E59)),"")</f>
        <v/>
      </c>
      <c r="G59" s="36" t="str">
        <f aca="false">IF(A59&lt;&gt;"",IFERROR(F59/MAX($E$6:E59),0),"")</f>
        <v/>
      </c>
    </row>
    <row r="60" customFormat="false" ht="15" hidden="false" customHeight="false" outlineLevel="0" collapsed="false">
      <c r="A60" s="4" t="str">
        <f aca="false">IF('📋 Trade Log'!B58&lt;&gt;"",'📋 Trade Log'!A58,"")</f>
        <v/>
      </c>
      <c r="B60" s="5" t="str">
        <f aca="false">IF('📋 Trade Log'!B58&lt;&gt;"",'📋 Trade Log'!B58,"")</f>
        <v/>
      </c>
      <c r="C60" s="7" t="str">
        <f aca="false">IF('📋 Trade Log'!L58&lt;&gt;"",'📋 Trade Log'!L58,"")</f>
        <v/>
      </c>
      <c r="D60" s="7" t="str">
        <f aca="false">IF(A60&lt;&gt;"",SUM($C$6:C60),"")</f>
        <v/>
      </c>
      <c r="E60" s="7" t="str">
        <f aca="false">IF(A60&lt;&gt;"",B$3+D60,"")</f>
        <v/>
      </c>
      <c r="F60" s="7" t="str">
        <f aca="false">IF(A60&lt;&gt;"",MIN(0,E60-MAX($E$6:E60)),"")</f>
        <v/>
      </c>
      <c r="G60" s="35" t="str">
        <f aca="false">IF(A60&lt;&gt;"",IFERROR(F60/MAX($E$6:E60),0),"")</f>
        <v/>
      </c>
    </row>
    <row r="61" customFormat="false" ht="15" hidden="false" customHeight="false" outlineLevel="0" collapsed="false">
      <c r="A61" s="9" t="str">
        <f aca="false">IF('📋 Trade Log'!B59&lt;&gt;"",'📋 Trade Log'!A59,"")</f>
        <v/>
      </c>
      <c r="B61" s="10" t="str">
        <f aca="false">IF('📋 Trade Log'!B59&lt;&gt;"",'📋 Trade Log'!B59,"")</f>
        <v/>
      </c>
      <c r="C61" s="12" t="str">
        <f aca="false">IF('📋 Trade Log'!L59&lt;&gt;"",'📋 Trade Log'!L59,"")</f>
        <v/>
      </c>
      <c r="D61" s="12" t="str">
        <f aca="false">IF(A61&lt;&gt;"",SUM($C$6:C61),"")</f>
        <v/>
      </c>
      <c r="E61" s="12" t="str">
        <f aca="false">IF(A61&lt;&gt;"",B$3+D61,"")</f>
        <v/>
      </c>
      <c r="F61" s="12" t="str">
        <f aca="false">IF(A61&lt;&gt;"",MIN(0,E61-MAX($E$6:E61)),"")</f>
        <v/>
      </c>
      <c r="G61" s="36" t="str">
        <f aca="false">IF(A61&lt;&gt;"",IFERROR(F61/MAX($E$6:E61),0),"")</f>
        <v/>
      </c>
    </row>
    <row r="62" customFormat="false" ht="15" hidden="false" customHeight="false" outlineLevel="0" collapsed="false">
      <c r="A62" s="4" t="str">
        <f aca="false">IF('📋 Trade Log'!B60&lt;&gt;"",'📋 Trade Log'!A60,"")</f>
        <v/>
      </c>
      <c r="B62" s="5" t="str">
        <f aca="false">IF('📋 Trade Log'!B60&lt;&gt;"",'📋 Trade Log'!B60,"")</f>
        <v/>
      </c>
      <c r="C62" s="7" t="str">
        <f aca="false">IF('📋 Trade Log'!L60&lt;&gt;"",'📋 Trade Log'!L60,"")</f>
        <v/>
      </c>
      <c r="D62" s="7" t="str">
        <f aca="false">IF(A62&lt;&gt;"",SUM($C$6:C62),"")</f>
        <v/>
      </c>
      <c r="E62" s="7" t="str">
        <f aca="false">IF(A62&lt;&gt;"",B$3+D62,"")</f>
        <v/>
      </c>
      <c r="F62" s="7" t="str">
        <f aca="false">IF(A62&lt;&gt;"",MIN(0,E62-MAX($E$6:E62)),"")</f>
        <v/>
      </c>
      <c r="G62" s="35" t="str">
        <f aca="false">IF(A62&lt;&gt;"",IFERROR(F62/MAX($E$6:E62),0),"")</f>
        <v/>
      </c>
    </row>
    <row r="63" customFormat="false" ht="15" hidden="false" customHeight="false" outlineLevel="0" collapsed="false">
      <c r="A63" s="9" t="str">
        <f aca="false">IF('📋 Trade Log'!B61&lt;&gt;"",'📋 Trade Log'!A61,"")</f>
        <v/>
      </c>
      <c r="B63" s="10" t="str">
        <f aca="false">IF('📋 Trade Log'!B61&lt;&gt;"",'📋 Trade Log'!B61,"")</f>
        <v/>
      </c>
      <c r="C63" s="12" t="str">
        <f aca="false">IF('📋 Trade Log'!L61&lt;&gt;"",'📋 Trade Log'!L61,"")</f>
        <v/>
      </c>
      <c r="D63" s="12" t="str">
        <f aca="false">IF(A63&lt;&gt;"",SUM($C$6:C63),"")</f>
        <v/>
      </c>
      <c r="E63" s="12" t="str">
        <f aca="false">IF(A63&lt;&gt;"",B$3+D63,"")</f>
        <v/>
      </c>
      <c r="F63" s="12" t="str">
        <f aca="false">IF(A63&lt;&gt;"",MIN(0,E63-MAX($E$6:E63)),"")</f>
        <v/>
      </c>
      <c r="G63" s="36" t="str">
        <f aca="false">IF(A63&lt;&gt;"",IFERROR(F63/MAX($E$6:E63),0),"")</f>
        <v/>
      </c>
    </row>
    <row r="64" customFormat="false" ht="15" hidden="false" customHeight="false" outlineLevel="0" collapsed="false">
      <c r="A64" s="4" t="str">
        <f aca="false">IF('📋 Trade Log'!B62&lt;&gt;"",'📋 Trade Log'!A62,"")</f>
        <v/>
      </c>
      <c r="B64" s="5" t="str">
        <f aca="false">IF('📋 Trade Log'!B62&lt;&gt;"",'📋 Trade Log'!B62,"")</f>
        <v/>
      </c>
      <c r="C64" s="7" t="str">
        <f aca="false">IF('📋 Trade Log'!L62&lt;&gt;"",'📋 Trade Log'!L62,"")</f>
        <v/>
      </c>
      <c r="D64" s="7" t="str">
        <f aca="false">IF(A64&lt;&gt;"",SUM($C$6:C64),"")</f>
        <v/>
      </c>
      <c r="E64" s="7" t="str">
        <f aca="false">IF(A64&lt;&gt;"",B$3+D64,"")</f>
        <v/>
      </c>
      <c r="F64" s="7" t="str">
        <f aca="false">IF(A64&lt;&gt;"",MIN(0,E64-MAX($E$6:E64)),"")</f>
        <v/>
      </c>
      <c r="G64" s="35" t="str">
        <f aca="false">IF(A64&lt;&gt;"",IFERROR(F64/MAX($E$6:E64),0),"")</f>
        <v/>
      </c>
    </row>
    <row r="65" customFormat="false" ht="15" hidden="false" customHeight="false" outlineLevel="0" collapsed="false">
      <c r="A65" s="9" t="str">
        <f aca="false">IF('📋 Trade Log'!B63&lt;&gt;"",'📋 Trade Log'!A63,"")</f>
        <v/>
      </c>
      <c r="B65" s="10" t="str">
        <f aca="false">IF('📋 Trade Log'!B63&lt;&gt;"",'📋 Trade Log'!B63,"")</f>
        <v/>
      </c>
      <c r="C65" s="12" t="str">
        <f aca="false">IF('📋 Trade Log'!L63&lt;&gt;"",'📋 Trade Log'!L63,"")</f>
        <v/>
      </c>
      <c r="D65" s="12" t="str">
        <f aca="false">IF(A65&lt;&gt;"",SUM($C$6:C65),"")</f>
        <v/>
      </c>
      <c r="E65" s="12" t="str">
        <f aca="false">IF(A65&lt;&gt;"",B$3+D65,"")</f>
        <v/>
      </c>
      <c r="F65" s="12" t="str">
        <f aca="false">IF(A65&lt;&gt;"",MIN(0,E65-MAX($E$6:E65)),"")</f>
        <v/>
      </c>
      <c r="G65" s="36" t="str">
        <f aca="false">IF(A65&lt;&gt;"",IFERROR(F65/MAX($E$6:E65),0),"")</f>
        <v/>
      </c>
    </row>
    <row r="66" customFormat="false" ht="15" hidden="false" customHeight="false" outlineLevel="0" collapsed="false">
      <c r="A66" s="4" t="str">
        <f aca="false">IF('📋 Trade Log'!B64&lt;&gt;"",'📋 Trade Log'!A64,"")</f>
        <v/>
      </c>
      <c r="B66" s="5" t="str">
        <f aca="false">IF('📋 Trade Log'!B64&lt;&gt;"",'📋 Trade Log'!B64,"")</f>
        <v/>
      </c>
      <c r="C66" s="7" t="str">
        <f aca="false">IF('📋 Trade Log'!L64&lt;&gt;"",'📋 Trade Log'!L64,"")</f>
        <v/>
      </c>
      <c r="D66" s="7" t="str">
        <f aca="false">IF(A66&lt;&gt;"",SUM($C$6:C66),"")</f>
        <v/>
      </c>
      <c r="E66" s="7" t="str">
        <f aca="false">IF(A66&lt;&gt;"",B$3+D66,"")</f>
        <v/>
      </c>
      <c r="F66" s="7" t="str">
        <f aca="false">IF(A66&lt;&gt;"",MIN(0,E66-MAX($E$6:E66)),"")</f>
        <v/>
      </c>
      <c r="G66" s="35" t="str">
        <f aca="false">IF(A66&lt;&gt;"",IFERROR(F66/MAX($E$6:E66),0),"")</f>
        <v/>
      </c>
    </row>
    <row r="67" customFormat="false" ht="15" hidden="false" customHeight="false" outlineLevel="0" collapsed="false">
      <c r="A67" s="9" t="str">
        <f aca="false">IF('📋 Trade Log'!B65&lt;&gt;"",'📋 Trade Log'!A65,"")</f>
        <v/>
      </c>
      <c r="B67" s="10" t="str">
        <f aca="false">IF('📋 Trade Log'!B65&lt;&gt;"",'📋 Trade Log'!B65,"")</f>
        <v/>
      </c>
      <c r="C67" s="12" t="str">
        <f aca="false">IF('📋 Trade Log'!L65&lt;&gt;"",'📋 Trade Log'!L65,"")</f>
        <v/>
      </c>
      <c r="D67" s="12" t="str">
        <f aca="false">IF(A67&lt;&gt;"",SUM($C$6:C67),"")</f>
        <v/>
      </c>
      <c r="E67" s="12" t="str">
        <f aca="false">IF(A67&lt;&gt;"",B$3+D67,"")</f>
        <v/>
      </c>
      <c r="F67" s="12" t="str">
        <f aca="false">IF(A67&lt;&gt;"",MIN(0,E67-MAX($E$6:E67)),"")</f>
        <v/>
      </c>
      <c r="G67" s="36" t="str">
        <f aca="false">IF(A67&lt;&gt;"",IFERROR(F67/MAX($E$6:E67),0),"")</f>
        <v/>
      </c>
    </row>
    <row r="68" customFormat="false" ht="15" hidden="false" customHeight="false" outlineLevel="0" collapsed="false">
      <c r="A68" s="4" t="str">
        <f aca="false">IF('📋 Trade Log'!B66&lt;&gt;"",'📋 Trade Log'!A66,"")</f>
        <v/>
      </c>
      <c r="B68" s="5" t="str">
        <f aca="false">IF('📋 Trade Log'!B66&lt;&gt;"",'📋 Trade Log'!B66,"")</f>
        <v/>
      </c>
      <c r="C68" s="7" t="str">
        <f aca="false">IF('📋 Trade Log'!L66&lt;&gt;"",'📋 Trade Log'!L66,"")</f>
        <v/>
      </c>
      <c r="D68" s="7" t="str">
        <f aca="false">IF(A68&lt;&gt;"",SUM($C$6:C68),"")</f>
        <v/>
      </c>
      <c r="E68" s="7" t="str">
        <f aca="false">IF(A68&lt;&gt;"",B$3+D68,"")</f>
        <v/>
      </c>
      <c r="F68" s="7" t="str">
        <f aca="false">IF(A68&lt;&gt;"",MIN(0,E68-MAX($E$6:E68)),"")</f>
        <v/>
      </c>
      <c r="G68" s="35" t="str">
        <f aca="false">IF(A68&lt;&gt;"",IFERROR(F68/MAX($E$6:E68),0),"")</f>
        <v/>
      </c>
    </row>
    <row r="69" customFormat="false" ht="15" hidden="false" customHeight="false" outlineLevel="0" collapsed="false">
      <c r="A69" s="9" t="str">
        <f aca="false">IF('📋 Trade Log'!B67&lt;&gt;"",'📋 Trade Log'!A67,"")</f>
        <v/>
      </c>
      <c r="B69" s="10" t="str">
        <f aca="false">IF('📋 Trade Log'!B67&lt;&gt;"",'📋 Trade Log'!B67,"")</f>
        <v/>
      </c>
      <c r="C69" s="12" t="str">
        <f aca="false">IF('📋 Trade Log'!L67&lt;&gt;"",'📋 Trade Log'!L67,"")</f>
        <v/>
      </c>
      <c r="D69" s="12" t="str">
        <f aca="false">IF(A69&lt;&gt;"",SUM($C$6:C69),"")</f>
        <v/>
      </c>
      <c r="E69" s="12" t="str">
        <f aca="false">IF(A69&lt;&gt;"",B$3+D69,"")</f>
        <v/>
      </c>
      <c r="F69" s="12" t="str">
        <f aca="false">IF(A69&lt;&gt;"",MIN(0,E69-MAX($E$6:E69)),"")</f>
        <v/>
      </c>
      <c r="G69" s="36" t="str">
        <f aca="false">IF(A69&lt;&gt;"",IFERROR(F69/MAX($E$6:E69),0),"")</f>
        <v/>
      </c>
    </row>
    <row r="70" customFormat="false" ht="15" hidden="false" customHeight="false" outlineLevel="0" collapsed="false">
      <c r="A70" s="4" t="str">
        <f aca="false">IF('📋 Trade Log'!B68&lt;&gt;"",'📋 Trade Log'!A68,"")</f>
        <v/>
      </c>
      <c r="B70" s="5" t="str">
        <f aca="false">IF('📋 Trade Log'!B68&lt;&gt;"",'📋 Trade Log'!B68,"")</f>
        <v/>
      </c>
      <c r="C70" s="7" t="str">
        <f aca="false">IF('📋 Trade Log'!L68&lt;&gt;"",'📋 Trade Log'!L68,"")</f>
        <v/>
      </c>
      <c r="D70" s="7" t="str">
        <f aca="false">IF(A70&lt;&gt;"",SUM($C$6:C70),"")</f>
        <v/>
      </c>
      <c r="E70" s="7" t="str">
        <f aca="false">IF(A70&lt;&gt;"",B$3+D70,"")</f>
        <v/>
      </c>
      <c r="F70" s="7" t="str">
        <f aca="false">IF(A70&lt;&gt;"",MIN(0,E70-MAX($E$6:E70)),"")</f>
        <v/>
      </c>
      <c r="G70" s="35" t="str">
        <f aca="false">IF(A70&lt;&gt;"",IFERROR(F70/MAX($E$6:E70),0),"")</f>
        <v/>
      </c>
    </row>
    <row r="71" customFormat="false" ht="15" hidden="false" customHeight="false" outlineLevel="0" collapsed="false">
      <c r="A71" s="9" t="str">
        <f aca="false">IF('📋 Trade Log'!B69&lt;&gt;"",'📋 Trade Log'!A69,"")</f>
        <v/>
      </c>
      <c r="B71" s="10" t="str">
        <f aca="false">IF('📋 Trade Log'!B69&lt;&gt;"",'📋 Trade Log'!B69,"")</f>
        <v/>
      </c>
      <c r="C71" s="12" t="str">
        <f aca="false">IF('📋 Trade Log'!L69&lt;&gt;"",'📋 Trade Log'!L69,"")</f>
        <v/>
      </c>
      <c r="D71" s="12" t="str">
        <f aca="false">IF(A71&lt;&gt;"",SUM($C$6:C71),"")</f>
        <v/>
      </c>
      <c r="E71" s="12" t="str">
        <f aca="false">IF(A71&lt;&gt;"",B$3+D71,"")</f>
        <v/>
      </c>
      <c r="F71" s="12" t="str">
        <f aca="false">IF(A71&lt;&gt;"",MIN(0,E71-MAX($E$6:E71)),"")</f>
        <v/>
      </c>
      <c r="G71" s="36" t="str">
        <f aca="false">IF(A71&lt;&gt;"",IFERROR(F71/MAX($E$6:E71),0),"")</f>
        <v/>
      </c>
    </row>
    <row r="72" customFormat="false" ht="15" hidden="false" customHeight="false" outlineLevel="0" collapsed="false">
      <c r="A72" s="4" t="str">
        <f aca="false">IF('📋 Trade Log'!B70&lt;&gt;"",'📋 Trade Log'!A70,"")</f>
        <v/>
      </c>
      <c r="B72" s="5" t="str">
        <f aca="false">IF('📋 Trade Log'!B70&lt;&gt;"",'📋 Trade Log'!B70,"")</f>
        <v/>
      </c>
      <c r="C72" s="7" t="str">
        <f aca="false">IF('📋 Trade Log'!L70&lt;&gt;"",'📋 Trade Log'!L70,"")</f>
        <v/>
      </c>
      <c r="D72" s="7" t="str">
        <f aca="false">IF(A72&lt;&gt;"",SUM($C$6:C72),"")</f>
        <v/>
      </c>
      <c r="E72" s="7" t="str">
        <f aca="false">IF(A72&lt;&gt;"",B$3+D72,"")</f>
        <v/>
      </c>
      <c r="F72" s="7" t="str">
        <f aca="false">IF(A72&lt;&gt;"",MIN(0,E72-MAX($E$6:E72)),"")</f>
        <v/>
      </c>
      <c r="G72" s="35" t="str">
        <f aca="false">IF(A72&lt;&gt;"",IFERROR(F72/MAX($E$6:E72),0),"")</f>
        <v/>
      </c>
    </row>
    <row r="73" customFormat="false" ht="15" hidden="false" customHeight="false" outlineLevel="0" collapsed="false">
      <c r="A73" s="9" t="str">
        <f aca="false">IF('📋 Trade Log'!B71&lt;&gt;"",'📋 Trade Log'!A71,"")</f>
        <v/>
      </c>
      <c r="B73" s="10" t="str">
        <f aca="false">IF('📋 Trade Log'!B71&lt;&gt;"",'📋 Trade Log'!B71,"")</f>
        <v/>
      </c>
      <c r="C73" s="12" t="str">
        <f aca="false">IF('📋 Trade Log'!L71&lt;&gt;"",'📋 Trade Log'!L71,"")</f>
        <v/>
      </c>
      <c r="D73" s="12" t="str">
        <f aca="false">IF(A73&lt;&gt;"",SUM($C$6:C73),"")</f>
        <v/>
      </c>
      <c r="E73" s="12" t="str">
        <f aca="false">IF(A73&lt;&gt;"",B$3+D73,"")</f>
        <v/>
      </c>
      <c r="F73" s="12" t="str">
        <f aca="false">IF(A73&lt;&gt;"",MIN(0,E73-MAX($E$6:E73)),"")</f>
        <v/>
      </c>
      <c r="G73" s="36" t="str">
        <f aca="false">IF(A73&lt;&gt;"",IFERROR(F73/MAX($E$6:E73),0),"")</f>
        <v/>
      </c>
    </row>
    <row r="74" customFormat="false" ht="15" hidden="false" customHeight="false" outlineLevel="0" collapsed="false">
      <c r="A74" s="4" t="str">
        <f aca="false">IF('📋 Trade Log'!B72&lt;&gt;"",'📋 Trade Log'!A72,"")</f>
        <v/>
      </c>
      <c r="B74" s="5" t="str">
        <f aca="false">IF('📋 Trade Log'!B72&lt;&gt;"",'📋 Trade Log'!B72,"")</f>
        <v/>
      </c>
      <c r="C74" s="7" t="str">
        <f aca="false">IF('📋 Trade Log'!L72&lt;&gt;"",'📋 Trade Log'!L72,"")</f>
        <v/>
      </c>
      <c r="D74" s="7" t="str">
        <f aca="false">IF(A74&lt;&gt;"",SUM($C$6:C74),"")</f>
        <v/>
      </c>
      <c r="E74" s="7" t="str">
        <f aca="false">IF(A74&lt;&gt;"",B$3+D74,"")</f>
        <v/>
      </c>
      <c r="F74" s="7" t="str">
        <f aca="false">IF(A74&lt;&gt;"",MIN(0,E74-MAX($E$6:E74)),"")</f>
        <v/>
      </c>
      <c r="G74" s="35" t="str">
        <f aca="false">IF(A74&lt;&gt;"",IFERROR(F74/MAX($E$6:E74),0),"")</f>
        <v/>
      </c>
    </row>
    <row r="75" customFormat="false" ht="15" hidden="false" customHeight="false" outlineLevel="0" collapsed="false">
      <c r="A75" s="9" t="str">
        <f aca="false">IF('📋 Trade Log'!B73&lt;&gt;"",'📋 Trade Log'!A73,"")</f>
        <v/>
      </c>
      <c r="B75" s="10" t="str">
        <f aca="false">IF('📋 Trade Log'!B73&lt;&gt;"",'📋 Trade Log'!B73,"")</f>
        <v/>
      </c>
      <c r="C75" s="12" t="str">
        <f aca="false">IF('📋 Trade Log'!L73&lt;&gt;"",'📋 Trade Log'!L73,"")</f>
        <v/>
      </c>
      <c r="D75" s="12" t="str">
        <f aca="false">IF(A75&lt;&gt;"",SUM($C$6:C75),"")</f>
        <v/>
      </c>
      <c r="E75" s="12" t="str">
        <f aca="false">IF(A75&lt;&gt;"",B$3+D75,"")</f>
        <v/>
      </c>
      <c r="F75" s="12" t="str">
        <f aca="false">IF(A75&lt;&gt;"",MIN(0,E75-MAX($E$6:E75)),"")</f>
        <v/>
      </c>
      <c r="G75" s="36" t="str">
        <f aca="false">IF(A75&lt;&gt;"",IFERROR(F75/MAX($E$6:E75),0),"")</f>
        <v/>
      </c>
    </row>
    <row r="76" customFormat="false" ht="15" hidden="false" customHeight="false" outlineLevel="0" collapsed="false">
      <c r="A76" s="4" t="str">
        <f aca="false">IF('📋 Trade Log'!B74&lt;&gt;"",'📋 Trade Log'!A74,"")</f>
        <v/>
      </c>
      <c r="B76" s="5" t="str">
        <f aca="false">IF('📋 Trade Log'!B74&lt;&gt;"",'📋 Trade Log'!B74,"")</f>
        <v/>
      </c>
      <c r="C76" s="7" t="str">
        <f aca="false">IF('📋 Trade Log'!L74&lt;&gt;"",'📋 Trade Log'!L74,"")</f>
        <v/>
      </c>
      <c r="D76" s="7" t="str">
        <f aca="false">IF(A76&lt;&gt;"",SUM($C$6:C76),"")</f>
        <v/>
      </c>
      <c r="E76" s="7" t="str">
        <f aca="false">IF(A76&lt;&gt;"",B$3+D76,"")</f>
        <v/>
      </c>
      <c r="F76" s="7" t="str">
        <f aca="false">IF(A76&lt;&gt;"",MIN(0,E76-MAX($E$6:E76)),"")</f>
        <v/>
      </c>
      <c r="G76" s="35" t="str">
        <f aca="false">IF(A76&lt;&gt;"",IFERROR(F76/MAX($E$6:E76),0),"")</f>
        <v/>
      </c>
    </row>
    <row r="77" customFormat="false" ht="15" hidden="false" customHeight="false" outlineLevel="0" collapsed="false">
      <c r="A77" s="9" t="str">
        <f aca="false">IF('📋 Trade Log'!B75&lt;&gt;"",'📋 Trade Log'!A75,"")</f>
        <v/>
      </c>
      <c r="B77" s="10" t="str">
        <f aca="false">IF('📋 Trade Log'!B75&lt;&gt;"",'📋 Trade Log'!B75,"")</f>
        <v/>
      </c>
      <c r="C77" s="12" t="str">
        <f aca="false">IF('📋 Trade Log'!L75&lt;&gt;"",'📋 Trade Log'!L75,"")</f>
        <v/>
      </c>
      <c r="D77" s="12" t="str">
        <f aca="false">IF(A77&lt;&gt;"",SUM($C$6:C77),"")</f>
        <v/>
      </c>
      <c r="E77" s="12" t="str">
        <f aca="false">IF(A77&lt;&gt;"",B$3+D77,"")</f>
        <v/>
      </c>
      <c r="F77" s="12" t="str">
        <f aca="false">IF(A77&lt;&gt;"",MIN(0,E77-MAX($E$6:E77)),"")</f>
        <v/>
      </c>
      <c r="G77" s="36" t="str">
        <f aca="false">IF(A77&lt;&gt;"",IFERROR(F77/MAX($E$6:E77),0),"")</f>
        <v/>
      </c>
    </row>
    <row r="78" customFormat="false" ht="15" hidden="false" customHeight="false" outlineLevel="0" collapsed="false">
      <c r="A78" s="4" t="str">
        <f aca="false">IF('📋 Trade Log'!B76&lt;&gt;"",'📋 Trade Log'!A76,"")</f>
        <v/>
      </c>
      <c r="B78" s="5" t="str">
        <f aca="false">IF('📋 Trade Log'!B76&lt;&gt;"",'📋 Trade Log'!B76,"")</f>
        <v/>
      </c>
      <c r="C78" s="7" t="str">
        <f aca="false">IF('📋 Trade Log'!L76&lt;&gt;"",'📋 Trade Log'!L76,"")</f>
        <v/>
      </c>
      <c r="D78" s="7" t="str">
        <f aca="false">IF(A78&lt;&gt;"",SUM($C$6:C78),"")</f>
        <v/>
      </c>
      <c r="E78" s="7" t="str">
        <f aca="false">IF(A78&lt;&gt;"",B$3+D78,"")</f>
        <v/>
      </c>
      <c r="F78" s="7" t="str">
        <f aca="false">IF(A78&lt;&gt;"",MIN(0,E78-MAX($E$6:E78)),"")</f>
        <v/>
      </c>
      <c r="G78" s="35" t="str">
        <f aca="false">IF(A78&lt;&gt;"",IFERROR(F78/MAX($E$6:E78),0),"")</f>
        <v/>
      </c>
    </row>
    <row r="79" customFormat="false" ht="15" hidden="false" customHeight="false" outlineLevel="0" collapsed="false">
      <c r="A79" s="9" t="str">
        <f aca="false">IF('📋 Trade Log'!B77&lt;&gt;"",'📋 Trade Log'!A77,"")</f>
        <v/>
      </c>
      <c r="B79" s="10" t="str">
        <f aca="false">IF('📋 Trade Log'!B77&lt;&gt;"",'📋 Trade Log'!B77,"")</f>
        <v/>
      </c>
      <c r="C79" s="12" t="str">
        <f aca="false">IF('📋 Trade Log'!L77&lt;&gt;"",'📋 Trade Log'!L77,"")</f>
        <v/>
      </c>
      <c r="D79" s="12" t="str">
        <f aca="false">IF(A79&lt;&gt;"",SUM($C$6:C79),"")</f>
        <v/>
      </c>
      <c r="E79" s="12" t="str">
        <f aca="false">IF(A79&lt;&gt;"",B$3+D79,"")</f>
        <v/>
      </c>
      <c r="F79" s="12" t="str">
        <f aca="false">IF(A79&lt;&gt;"",MIN(0,E79-MAX($E$6:E79)),"")</f>
        <v/>
      </c>
      <c r="G79" s="36" t="str">
        <f aca="false">IF(A79&lt;&gt;"",IFERROR(F79/MAX($E$6:E79),0),"")</f>
        <v/>
      </c>
    </row>
    <row r="80" customFormat="false" ht="15" hidden="false" customHeight="false" outlineLevel="0" collapsed="false">
      <c r="A80" s="4" t="str">
        <f aca="false">IF('📋 Trade Log'!B78&lt;&gt;"",'📋 Trade Log'!A78,"")</f>
        <v/>
      </c>
      <c r="B80" s="5" t="str">
        <f aca="false">IF('📋 Trade Log'!B78&lt;&gt;"",'📋 Trade Log'!B78,"")</f>
        <v/>
      </c>
      <c r="C80" s="7" t="str">
        <f aca="false">IF('📋 Trade Log'!L78&lt;&gt;"",'📋 Trade Log'!L78,"")</f>
        <v/>
      </c>
      <c r="D80" s="7" t="str">
        <f aca="false">IF(A80&lt;&gt;"",SUM($C$6:C80),"")</f>
        <v/>
      </c>
      <c r="E80" s="7" t="str">
        <f aca="false">IF(A80&lt;&gt;"",B$3+D80,"")</f>
        <v/>
      </c>
      <c r="F80" s="7" t="str">
        <f aca="false">IF(A80&lt;&gt;"",MIN(0,E80-MAX($E$6:E80)),"")</f>
        <v/>
      </c>
      <c r="G80" s="35" t="str">
        <f aca="false">IF(A80&lt;&gt;"",IFERROR(F80/MAX($E$6:E80),0),"")</f>
        <v/>
      </c>
    </row>
    <row r="81" customFormat="false" ht="15" hidden="false" customHeight="false" outlineLevel="0" collapsed="false">
      <c r="A81" s="9" t="str">
        <f aca="false">IF('📋 Trade Log'!B79&lt;&gt;"",'📋 Trade Log'!A79,"")</f>
        <v/>
      </c>
      <c r="B81" s="10" t="str">
        <f aca="false">IF('📋 Trade Log'!B79&lt;&gt;"",'📋 Trade Log'!B79,"")</f>
        <v/>
      </c>
      <c r="C81" s="12" t="str">
        <f aca="false">IF('📋 Trade Log'!L79&lt;&gt;"",'📋 Trade Log'!L79,"")</f>
        <v/>
      </c>
      <c r="D81" s="12" t="str">
        <f aca="false">IF(A81&lt;&gt;"",SUM($C$6:C81),"")</f>
        <v/>
      </c>
      <c r="E81" s="12" t="str">
        <f aca="false">IF(A81&lt;&gt;"",B$3+D81,"")</f>
        <v/>
      </c>
      <c r="F81" s="12" t="str">
        <f aca="false">IF(A81&lt;&gt;"",MIN(0,E81-MAX($E$6:E81)),"")</f>
        <v/>
      </c>
      <c r="G81" s="36" t="str">
        <f aca="false">IF(A81&lt;&gt;"",IFERROR(F81/MAX($E$6:E81),0),"")</f>
        <v/>
      </c>
    </row>
    <row r="82" customFormat="false" ht="15" hidden="false" customHeight="false" outlineLevel="0" collapsed="false">
      <c r="A82" s="4" t="str">
        <f aca="false">IF('📋 Trade Log'!B80&lt;&gt;"",'📋 Trade Log'!A80,"")</f>
        <v/>
      </c>
      <c r="B82" s="5" t="str">
        <f aca="false">IF('📋 Trade Log'!B80&lt;&gt;"",'📋 Trade Log'!B80,"")</f>
        <v/>
      </c>
      <c r="C82" s="7" t="str">
        <f aca="false">IF('📋 Trade Log'!L80&lt;&gt;"",'📋 Trade Log'!L80,"")</f>
        <v/>
      </c>
      <c r="D82" s="7" t="str">
        <f aca="false">IF(A82&lt;&gt;"",SUM($C$6:C82),"")</f>
        <v/>
      </c>
      <c r="E82" s="7" t="str">
        <f aca="false">IF(A82&lt;&gt;"",B$3+D82,"")</f>
        <v/>
      </c>
      <c r="F82" s="7" t="str">
        <f aca="false">IF(A82&lt;&gt;"",MIN(0,E82-MAX($E$6:E82)),"")</f>
        <v/>
      </c>
      <c r="G82" s="35" t="str">
        <f aca="false">IF(A82&lt;&gt;"",IFERROR(F82/MAX($E$6:E82),0),"")</f>
        <v/>
      </c>
    </row>
    <row r="83" customFormat="false" ht="15" hidden="false" customHeight="false" outlineLevel="0" collapsed="false">
      <c r="A83" s="9" t="str">
        <f aca="false">IF('📋 Trade Log'!B81&lt;&gt;"",'📋 Trade Log'!A81,"")</f>
        <v/>
      </c>
      <c r="B83" s="10" t="str">
        <f aca="false">IF('📋 Trade Log'!B81&lt;&gt;"",'📋 Trade Log'!B81,"")</f>
        <v/>
      </c>
      <c r="C83" s="12" t="str">
        <f aca="false">IF('📋 Trade Log'!L81&lt;&gt;"",'📋 Trade Log'!L81,"")</f>
        <v/>
      </c>
      <c r="D83" s="12" t="str">
        <f aca="false">IF(A83&lt;&gt;"",SUM($C$6:C83),"")</f>
        <v/>
      </c>
      <c r="E83" s="12" t="str">
        <f aca="false">IF(A83&lt;&gt;"",B$3+D83,"")</f>
        <v/>
      </c>
      <c r="F83" s="12" t="str">
        <f aca="false">IF(A83&lt;&gt;"",MIN(0,E83-MAX($E$6:E83)),"")</f>
        <v/>
      </c>
      <c r="G83" s="36" t="str">
        <f aca="false">IF(A83&lt;&gt;"",IFERROR(F83/MAX($E$6:E83),0),"")</f>
        <v/>
      </c>
    </row>
    <row r="84" customFormat="false" ht="15" hidden="false" customHeight="false" outlineLevel="0" collapsed="false">
      <c r="A84" s="4" t="str">
        <f aca="false">IF('📋 Trade Log'!B82&lt;&gt;"",'📋 Trade Log'!A82,"")</f>
        <v/>
      </c>
      <c r="B84" s="5" t="str">
        <f aca="false">IF('📋 Trade Log'!B82&lt;&gt;"",'📋 Trade Log'!B82,"")</f>
        <v/>
      </c>
      <c r="C84" s="7" t="str">
        <f aca="false">IF('📋 Trade Log'!L82&lt;&gt;"",'📋 Trade Log'!L82,"")</f>
        <v/>
      </c>
      <c r="D84" s="7" t="str">
        <f aca="false">IF(A84&lt;&gt;"",SUM($C$6:C84),"")</f>
        <v/>
      </c>
      <c r="E84" s="7" t="str">
        <f aca="false">IF(A84&lt;&gt;"",B$3+D84,"")</f>
        <v/>
      </c>
      <c r="F84" s="7" t="str">
        <f aca="false">IF(A84&lt;&gt;"",MIN(0,E84-MAX($E$6:E84)),"")</f>
        <v/>
      </c>
      <c r="G84" s="35" t="str">
        <f aca="false">IF(A84&lt;&gt;"",IFERROR(F84/MAX($E$6:E84),0),"")</f>
        <v/>
      </c>
    </row>
    <row r="85" customFormat="false" ht="15" hidden="false" customHeight="false" outlineLevel="0" collapsed="false">
      <c r="A85" s="9" t="str">
        <f aca="false">IF('📋 Trade Log'!B83&lt;&gt;"",'📋 Trade Log'!A83,"")</f>
        <v/>
      </c>
      <c r="B85" s="10" t="str">
        <f aca="false">IF('📋 Trade Log'!B83&lt;&gt;"",'📋 Trade Log'!B83,"")</f>
        <v/>
      </c>
      <c r="C85" s="12" t="str">
        <f aca="false">IF('📋 Trade Log'!L83&lt;&gt;"",'📋 Trade Log'!L83,"")</f>
        <v/>
      </c>
      <c r="D85" s="12" t="str">
        <f aca="false">IF(A85&lt;&gt;"",SUM($C$6:C85),"")</f>
        <v/>
      </c>
      <c r="E85" s="12" t="str">
        <f aca="false">IF(A85&lt;&gt;"",B$3+D85,"")</f>
        <v/>
      </c>
      <c r="F85" s="12" t="str">
        <f aca="false">IF(A85&lt;&gt;"",MIN(0,E85-MAX($E$6:E85)),"")</f>
        <v/>
      </c>
      <c r="G85" s="36" t="str">
        <f aca="false">IF(A85&lt;&gt;"",IFERROR(F85/MAX($E$6:E85),0),"")</f>
        <v/>
      </c>
    </row>
    <row r="86" customFormat="false" ht="15" hidden="false" customHeight="false" outlineLevel="0" collapsed="false">
      <c r="A86" s="4" t="str">
        <f aca="false">IF('📋 Trade Log'!B84&lt;&gt;"",'📋 Trade Log'!A84,"")</f>
        <v/>
      </c>
      <c r="B86" s="5" t="str">
        <f aca="false">IF('📋 Trade Log'!B84&lt;&gt;"",'📋 Trade Log'!B84,"")</f>
        <v/>
      </c>
      <c r="C86" s="7" t="str">
        <f aca="false">IF('📋 Trade Log'!L84&lt;&gt;"",'📋 Trade Log'!L84,"")</f>
        <v/>
      </c>
      <c r="D86" s="7" t="str">
        <f aca="false">IF(A86&lt;&gt;"",SUM($C$6:C86),"")</f>
        <v/>
      </c>
      <c r="E86" s="7" t="str">
        <f aca="false">IF(A86&lt;&gt;"",B$3+D86,"")</f>
        <v/>
      </c>
      <c r="F86" s="7" t="str">
        <f aca="false">IF(A86&lt;&gt;"",MIN(0,E86-MAX($E$6:E86)),"")</f>
        <v/>
      </c>
      <c r="G86" s="35" t="str">
        <f aca="false">IF(A86&lt;&gt;"",IFERROR(F86/MAX($E$6:E86),0),"")</f>
        <v/>
      </c>
    </row>
    <row r="87" customFormat="false" ht="15" hidden="false" customHeight="false" outlineLevel="0" collapsed="false">
      <c r="A87" s="9" t="str">
        <f aca="false">IF('📋 Trade Log'!B85&lt;&gt;"",'📋 Trade Log'!A85,"")</f>
        <v/>
      </c>
      <c r="B87" s="10" t="str">
        <f aca="false">IF('📋 Trade Log'!B85&lt;&gt;"",'📋 Trade Log'!B85,"")</f>
        <v/>
      </c>
      <c r="C87" s="12" t="str">
        <f aca="false">IF('📋 Trade Log'!L85&lt;&gt;"",'📋 Trade Log'!L85,"")</f>
        <v/>
      </c>
      <c r="D87" s="12" t="str">
        <f aca="false">IF(A87&lt;&gt;"",SUM($C$6:C87),"")</f>
        <v/>
      </c>
      <c r="E87" s="12" t="str">
        <f aca="false">IF(A87&lt;&gt;"",B$3+D87,"")</f>
        <v/>
      </c>
      <c r="F87" s="12" t="str">
        <f aca="false">IF(A87&lt;&gt;"",MIN(0,E87-MAX($E$6:E87)),"")</f>
        <v/>
      </c>
      <c r="G87" s="36" t="str">
        <f aca="false">IF(A87&lt;&gt;"",IFERROR(F87/MAX($E$6:E87),0),"")</f>
        <v/>
      </c>
    </row>
    <row r="88" customFormat="false" ht="15" hidden="false" customHeight="false" outlineLevel="0" collapsed="false">
      <c r="A88" s="4" t="str">
        <f aca="false">IF('📋 Trade Log'!B86&lt;&gt;"",'📋 Trade Log'!A86,"")</f>
        <v/>
      </c>
      <c r="B88" s="5" t="str">
        <f aca="false">IF('📋 Trade Log'!B86&lt;&gt;"",'📋 Trade Log'!B86,"")</f>
        <v/>
      </c>
      <c r="C88" s="7" t="str">
        <f aca="false">IF('📋 Trade Log'!L86&lt;&gt;"",'📋 Trade Log'!L86,"")</f>
        <v/>
      </c>
      <c r="D88" s="7" t="str">
        <f aca="false">IF(A88&lt;&gt;"",SUM($C$6:C88),"")</f>
        <v/>
      </c>
      <c r="E88" s="7" t="str">
        <f aca="false">IF(A88&lt;&gt;"",B$3+D88,"")</f>
        <v/>
      </c>
      <c r="F88" s="7" t="str">
        <f aca="false">IF(A88&lt;&gt;"",MIN(0,E88-MAX($E$6:E88)),"")</f>
        <v/>
      </c>
      <c r="G88" s="35" t="str">
        <f aca="false">IF(A88&lt;&gt;"",IFERROR(F88/MAX($E$6:E88),0),"")</f>
        <v/>
      </c>
    </row>
    <row r="89" customFormat="false" ht="15" hidden="false" customHeight="false" outlineLevel="0" collapsed="false">
      <c r="A89" s="9" t="str">
        <f aca="false">IF('📋 Trade Log'!B87&lt;&gt;"",'📋 Trade Log'!A87,"")</f>
        <v/>
      </c>
      <c r="B89" s="10" t="str">
        <f aca="false">IF('📋 Trade Log'!B87&lt;&gt;"",'📋 Trade Log'!B87,"")</f>
        <v/>
      </c>
      <c r="C89" s="12" t="str">
        <f aca="false">IF('📋 Trade Log'!L87&lt;&gt;"",'📋 Trade Log'!L87,"")</f>
        <v/>
      </c>
      <c r="D89" s="12" t="str">
        <f aca="false">IF(A89&lt;&gt;"",SUM($C$6:C89),"")</f>
        <v/>
      </c>
      <c r="E89" s="12" t="str">
        <f aca="false">IF(A89&lt;&gt;"",B$3+D89,"")</f>
        <v/>
      </c>
      <c r="F89" s="12" t="str">
        <f aca="false">IF(A89&lt;&gt;"",MIN(0,E89-MAX($E$6:E89)),"")</f>
        <v/>
      </c>
      <c r="G89" s="36" t="str">
        <f aca="false">IF(A89&lt;&gt;"",IFERROR(F89/MAX($E$6:E89),0),"")</f>
        <v/>
      </c>
    </row>
    <row r="90" customFormat="false" ht="15" hidden="false" customHeight="false" outlineLevel="0" collapsed="false">
      <c r="A90" s="4" t="str">
        <f aca="false">IF('📋 Trade Log'!B88&lt;&gt;"",'📋 Trade Log'!A88,"")</f>
        <v/>
      </c>
      <c r="B90" s="5" t="str">
        <f aca="false">IF('📋 Trade Log'!B88&lt;&gt;"",'📋 Trade Log'!B88,"")</f>
        <v/>
      </c>
      <c r="C90" s="7" t="str">
        <f aca="false">IF('📋 Trade Log'!L88&lt;&gt;"",'📋 Trade Log'!L88,"")</f>
        <v/>
      </c>
      <c r="D90" s="7" t="str">
        <f aca="false">IF(A90&lt;&gt;"",SUM($C$6:C90),"")</f>
        <v/>
      </c>
      <c r="E90" s="7" t="str">
        <f aca="false">IF(A90&lt;&gt;"",B$3+D90,"")</f>
        <v/>
      </c>
      <c r="F90" s="7" t="str">
        <f aca="false">IF(A90&lt;&gt;"",MIN(0,E90-MAX($E$6:E90)),"")</f>
        <v/>
      </c>
      <c r="G90" s="35" t="str">
        <f aca="false">IF(A90&lt;&gt;"",IFERROR(F90/MAX($E$6:E90),0),"")</f>
        <v/>
      </c>
    </row>
    <row r="91" customFormat="false" ht="15" hidden="false" customHeight="false" outlineLevel="0" collapsed="false">
      <c r="A91" s="9" t="str">
        <f aca="false">IF('📋 Trade Log'!B89&lt;&gt;"",'📋 Trade Log'!A89,"")</f>
        <v/>
      </c>
      <c r="B91" s="10" t="str">
        <f aca="false">IF('📋 Trade Log'!B89&lt;&gt;"",'📋 Trade Log'!B89,"")</f>
        <v/>
      </c>
      <c r="C91" s="12" t="str">
        <f aca="false">IF('📋 Trade Log'!L89&lt;&gt;"",'📋 Trade Log'!L89,"")</f>
        <v/>
      </c>
      <c r="D91" s="12" t="str">
        <f aca="false">IF(A91&lt;&gt;"",SUM($C$6:C91),"")</f>
        <v/>
      </c>
      <c r="E91" s="12" t="str">
        <f aca="false">IF(A91&lt;&gt;"",B$3+D91,"")</f>
        <v/>
      </c>
      <c r="F91" s="12" t="str">
        <f aca="false">IF(A91&lt;&gt;"",MIN(0,E91-MAX($E$6:E91)),"")</f>
        <v/>
      </c>
      <c r="G91" s="36" t="str">
        <f aca="false">IF(A91&lt;&gt;"",IFERROR(F91/MAX($E$6:E91),0),"")</f>
        <v/>
      </c>
    </row>
    <row r="92" customFormat="false" ht="15" hidden="false" customHeight="false" outlineLevel="0" collapsed="false">
      <c r="A92" s="4" t="str">
        <f aca="false">IF('📋 Trade Log'!B90&lt;&gt;"",'📋 Trade Log'!A90,"")</f>
        <v/>
      </c>
      <c r="B92" s="5" t="str">
        <f aca="false">IF('📋 Trade Log'!B90&lt;&gt;"",'📋 Trade Log'!B90,"")</f>
        <v/>
      </c>
      <c r="C92" s="7" t="str">
        <f aca="false">IF('📋 Trade Log'!L90&lt;&gt;"",'📋 Trade Log'!L90,"")</f>
        <v/>
      </c>
      <c r="D92" s="7" t="str">
        <f aca="false">IF(A92&lt;&gt;"",SUM($C$6:C92),"")</f>
        <v/>
      </c>
      <c r="E92" s="7" t="str">
        <f aca="false">IF(A92&lt;&gt;"",B$3+D92,"")</f>
        <v/>
      </c>
      <c r="F92" s="7" t="str">
        <f aca="false">IF(A92&lt;&gt;"",MIN(0,E92-MAX($E$6:E92)),"")</f>
        <v/>
      </c>
      <c r="G92" s="35" t="str">
        <f aca="false">IF(A92&lt;&gt;"",IFERROR(F92/MAX($E$6:E92),0),"")</f>
        <v/>
      </c>
    </row>
    <row r="93" customFormat="false" ht="15" hidden="false" customHeight="false" outlineLevel="0" collapsed="false">
      <c r="A93" s="9" t="str">
        <f aca="false">IF('📋 Trade Log'!B91&lt;&gt;"",'📋 Trade Log'!A91,"")</f>
        <v/>
      </c>
      <c r="B93" s="10" t="str">
        <f aca="false">IF('📋 Trade Log'!B91&lt;&gt;"",'📋 Trade Log'!B91,"")</f>
        <v/>
      </c>
      <c r="C93" s="12" t="str">
        <f aca="false">IF('📋 Trade Log'!L91&lt;&gt;"",'📋 Trade Log'!L91,"")</f>
        <v/>
      </c>
      <c r="D93" s="12" t="str">
        <f aca="false">IF(A93&lt;&gt;"",SUM($C$6:C93),"")</f>
        <v/>
      </c>
      <c r="E93" s="12" t="str">
        <f aca="false">IF(A93&lt;&gt;"",B$3+D93,"")</f>
        <v/>
      </c>
      <c r="F93" s="12" t="str">
        <f aca="false">IF(A93&lt;&gt;"",MIN(0,E93-MAX($E$6:E93)),"")</f>
        <v/>
      </c>
      <c r="G93" s="36" t="str">
        <f aca="false">IF(A93&lt;&gt;"",IFERROR(F93/MAX($E$6:E93),0),"")</f>
        <v/>
      </c>
    </row>
    <row r="94" customFormat="false" ht="15" hidden="false" customHeight="false" outlineLevel="0" collapsed="false">
      <c r="A94" s="4" t="str">
        <f aca="false">IF('📋 Trade Log'!B92&lt;&gt;"",'📋 Trade Log'!A92,"")</f>
        <v/>
      </c>
      <c r="B94" s="5" t="str">
        <f aca="false">IF('📋 Trade Log'!B92&lt;&gt;"",'📋 Trade Log'!B92,"")</f>
        <v/>
      </c>
      <c r="C94" s="7" t="str">
        <f aca="false">IF('📋 Trade Log'!L92&lt;&gt;"",'📋 Trade Log'!L92,"")</f>
        <v/>
      </c>
      <c r="D94" s="7" t="str">
        <f aca="false">IF(A94&lt;&gt;"",SUM($C$6:C94),"")</f>
        <v/>
      </c>
      <c r="E94" s="7" t="str">
        <f aca="false">IF(A94&lt;&gt;"",B$3+D94,"")</f>
        <v/>
      </c>
      <c r="F94" s="7" t="str">
        <f aca="false">IF(A94&lt;&gt;"",MIN(0,E94-MAX($E$6:E94)),"")</f>
        <v/>
      </c>
      <c r="G94" s="35" t="str">
        <f aca="false">IF(A94&lt;&gt;"",IFERROR(F94/MAX($E$6:E94),0),"")</f>
        <v/>
      </c>
    </row>
    <row r="95" customFormat="false" ht="15" hidden="false" customHeight="false" outlineLevel="0" collapsed="false">
      <c r="A95" s="9" t="str">
        <f aca="false">IF('📋 Trade Log'!B93&lt;&gt;"",'📋 Trade Log'!A93,"")</f>
        <v/>
      </c>
      <c r="B95" s="10" t="str">
        <f aca="false">IF('📋 Trade Log'!B93&lt;&gt;"",'📋 Trade Log'!B93,"")</f>
        <v/>
      </c>
      <c r="C95" s="12" t="str">
        <f aca="false">IF('📋 Trade Log'!L93&lt;&gt;"",'📋 Trade Log'!L93,"")</f>
        <v/>
      </c>
      <c r="D95" s="12" t="str">
        <f aca="false">IF(A95&lt;&gt;"",SUM($C$6:C95),"")</f>
        <v/>
      </c>
      <c r="E95" s="12" t="str">
        <f aca="false">IF(A95&lt;&gt;"",B$3+D95,"")</f>
        <v/>
      </c>
      <c r="F95" s="12" t="str">
        <f aca="false">IF(A95&lt;&gt;"",MIN(0,E95-MAX($E$6:E95)),"")</f>
        <v/>
      </c>
      <c r="G95" s="36" t="str">
        <f aca="false">IF(A95&lt;&gt;"",IFERROR(F95/MAX($E$6:E95),0),"")</f>
        <v/>
      </c>
    </row>
    <row r="96" customFormat="false" ht="15" hidden="false" customHeight="false" outlineLevel="0" collapsed="false">
      <c r="A96" s="4" t="str">
        <f aca="false">IF('📋 Trade Log'!B94&lt;&gt;"",'📋 Trade Log'!A94,"")</f>
        <v/>
      </c>
      <c r="B96" s="5" t="str">
        <f aca="false">IF('📋 Trade Log'!B94&lt;&gt;"",'📋 Trade Log'!B94,"")</f>
        <v/>
      </c>
      <c r="C96" s="7" t="str">
        <f aca="false">IF('📋 Trade Log'!L94&lt;&gt;"",'📋 Trade Log'!L94,"")</f>
        <v/>
      </c>
      <c r="D96" s="7" t="str">
        <f aca="false">IF(A96&lt;&gt;"",SUM($C$6:C96),"")</f>
        <v/>
      </c>
      <c r="E96" s="7" t="str">
        <f aca="false">IF(A96&lt;&gt;"",B$3+D96,"")</f>
        <v/>
      </c>
      <c r="F96" s="7" t="str">
        <f aca="false">IF(A96&lt;&gt;"",MIN(0,E96-MAX($E$6:E96)),"")</f>
        <v/>
      </c>
      <c r="G96" s="35" t="str">
        <f aca="false">IF(A96&lt;&gt;"",IFERROR(F96/MAX($E$6:E96),0),"")</f>
        <v/>
      </c>
    </row>
    <row r="97" customFormat="false" ht="15" hidden="false" customHeight="false" outlineLevel="0" collapsed="false">
      <c r="A97" s="9" t="str">
        <f aca="false">IF('📋 Trade Log'!B95&lt;&gt;"",'📋 Trade Log'!A95,"")</f>
        <v/>
      </c>
      <c r="B97" s="10" t="str">
        <f aca="false">IF('📋 Trade Log'!B95&lt;&gt;"",'📋 Trade Log'!B95,"")</f>
        <v/>
      </c>
      <c r="C97" s="12" t="str">
        <f aca="false">IF('📋 Trade Log'!L95&lt;&gt;"",'📋 Trade Log'!L95,"")</f>
        <v/>
      </c>
      <c r="D97" s="12" t="str">
        <f aca="false">IF(A97&lt;&gt;"",SUM($C$6:C97),"")</f>
        <v/>
      </c>
      <c r="E97" s="12" t="str">
        <f aca="false">IF(A97&lt;&gt;"",B$3+D97,"")</f>
        <v/>
      </c>
      <c r="F97" s="12" t="str">
        <f aca="false">IF(A97&lt;&gt;"",MIN(0,E97-MAX($E$6:E97)),"")</f>
        <v/>
      </c>
      <c r="G97" s="36" t="str">
        <f aca="false">IF(A97&lt;&gt;"",IFERROR(F97/MAX($E$6:E97),0),"")</f>
        <v/>
      </c>
    </row>
    <row r="98" customFormat="false" ht="15" hidden="false" customHeight="false" outlineLevel="0" collapsed="false">
      <c r="A98" s="4" t="str">
        <f aca="false">IF('📋 Trade Log'!B96&lt;&gt;"",'📋 Trade Log'!A96,"")</f>
        <v/>
      </c>
      <c r="B98" s="5" t="str">
        <f aca="false">IF('📋 Trade Log'!B96&lt;&gt;"",'📋 Trade Log'!B96,"")</f>
        <v/>
      </c>
      <c r="C98" s="7" t="str">
        <f aca="false">IF('📋 Trade Log'!L96&lt;&gt;"",'📋 Trade Log'!L96,"")</f>
        <v/>
      </c>
      <c r="D98" s="7" t="str">
        <f aca="false">IF(A98&lt;&gt;"",SUM($C$6:C98),"")</f>
        <v/>
      </c>
      <c r="E98" s="7" t="str">
        <f aca="false">IF(A98&lt;&gt;"",B$3+D98,"")</f>
        <v/>
      </c>
      <c r="F98" s="7" t="str">
        <f aca="false">IF(A98&lt;&gt;"",MIN(0,E98-MAX($E$6:E98)),"")</f>
        <v/>
      </c>
      <c r="G98" s="35" t="str">
        <f aca="false">IF(A98&lt;&gt;"",IFERROR(F98/MAX($E$6:E98),0),"")</f>
        <v/>
      </c>
    </row>
    <row r="99" customFormat="false" ht="15" hidden="false" customHeight="false" outlineLevel="0" collapsed="false">
      <c r="A99" s="9" t="str">
        <f aca="false">IF('📋 Trade Log'!B97&lt;&gt;"",'📋 Trade Log'!A97,"")</f>
        <v/>
      </c>
      <c r="B99" s="10" t="str">
        <f aca="false">IF('📋 Trade Log'!B97&lt;&gt;"",'📋 Trade Log'!B97,"")</f>
        <v/>
      </c>
      <c r="C99" s="12" t="str">
        <f aca="false">IF('📋 Trade Log'!L97&lt;&gt;"",'📋 Trade Log'!L97,"")</f>
        <v/>
      </c>
      <c r="D99" s="12" t="str">
        <f aca="false">IF(A99&lt;&gt;"",SUM($C$6:C99),"")</f>
        <v/>
      </c>
      <c r="E99" s="12" t="str">
        <f aca="false">IF(A99&lt;&gt;"",B$3+D99,"")</f>
        <v/>
      </c>
      <c r="F99" s="12" t="str">
        <f aca="false">IF(A99&lt;&gt;"",MIN(0,E99-MAX($E$6:E99)),"")</f>
        <v/>
      </c>
      <c r="G99" s="36" t="str">
        <f aca="false">IF(A99&lt;&gt;"",IFERROR(F99/MAX($E$6:E99),0),"")</f>
        <v/>
      </c>
    </row>
    <row r="100" customFormat="false" ht="15" hidden="false" customHeight="false" outlineLevel="0" collapsed="false">
      <c r="A100" s="4" t="str">
        <f aca="false">IF('📋 Trade Log'!B98&lt;&gt;"",'📋 Trade Log'!A98,"")</f>
        <v/>
      </c>
      <c r="B100" s="5" t="str">
        <f aca="false">IF('📋 Trade Log'!B98&lt;&gt;"",'📋 Trade Log'!B98,"")</f>
        <v/>
      </c>
      <c r="C100" s="7" t="str">
        <f aca="false">IF('📋 Trade Log'!L98&lt;&gt;"",'📋 Trade Log'!L98,"")</f>
        <v/>
      </c>
      <c r="D100" s="7" t="str">
        <f aca="false">IF(A100&lt;&gt;"",SUM($C$6:C100),"")</f>
        <v/>
      </c>
      <c r="E100" s="7" t="str">
        <f aca="false">IF(A100&lt;&gt;"",B$3+D100,"")</f>
        <v/>
      </c>
      <c r="F100" s="7" t="str">
        <f aca="false">IF(A100&lt;&gt;"",MIN(0,E100-MAX($E$6:E100)),"")</f>
        <v/>
      </c>
      <c r="G100" s="35" t="str">
        <f aca="false">IF(A100&lt;&gt;"",IFERROR(F100/MAX($E$6:E100),0),"")</f>
        <v/>
      </c>
    </row>
    <row r="101" customFormat="false" ht="15" hidden="false" customHeight="false" outlineLevel="0" collapsed="false">
      <c r="A101" s="9" t="str">
        <f aca="false">IF('📋 Trade Log'!B99&lt;&gt;"",'📋 Trade Log'!A99,"")</f>
        <v/>
      </c>
      <c r="B101" s="10" t="str">
        <f aca="false">IF('📋 Trade Log'!B99&lt;&gt;"",'📋 Trade Log'!B99,"")</f>
        <v/>
      </c>
      <c r="C101" s="12" t="str">
        <f aca="false">IF('📋 Trade Log'!L99&lt;&gt;"",'📋 Trade Log'!L99,"")</f>
        <v/>
      </c>
      <c r="D101" s="12" t="str">
        <f aca="false">IF(A101&lt;&gt;"",SUM($C$6:C101),"")</f>
        <v/>
      </c>
      <c r="E101" s="12" t="str">
        <f aca="false">IF(A101&lt;&gt;"",B$3+D101,"")</f>
        <v/>
      </c>
      <c r="F101" s="12" t="str">
        <f aca="false">IF(A101&lt;&gt;"",MIN(0,E101-MAX($E$6:E101)),"")</f>
        <v/>
      </c>
      <c r="G101" s="36" t="str">
        <f aca="false">IF(A101&lt;&gt;"",IFERROR(F101/MAX($E$6:E101),0),"")</f>
        <v/>
      </c>
    </row>
    <row r="102" customFormat="false" ht="15" hidden="false" customHeight="false" outlineLevel="0" collapsed="false">
      <c r="A102" s="4" t="str">
        <f aca="false">IF('📋 Trade Log'!B100&lt;&gt;"",'📋 Trade Log'!A100,"")</f>
        <v/>
      </c>
      <c r="B102" s="5" t="str">
        <f aca="false">IF('📋 Trade Log'!B100&lt;&gt;"",'📋 Trade Log'!B100,"")</f>
        <v/>
      </c>
      <c r="C102" s="7" t="str">
        <f aca="false">IF('📋 Trade Log'!L100&lt;&gt;"",'📋 Trade Log'!L100,"")</f>
        <v/>
      </c>
      <c r="D102" s="7" t="str">
        <f aca="false">IF(A102&lt;&gt;"",SUM($C$6:C102),"")</f>
        <v/>
      </c>
      <c r="E102" s="7" t="str">
        <f aca="false">IF(A102&lt;&gt;"",B$3+D102,"")</f>
        <v/>
      </c>
      <c r="F102" s="7" t="str">
        <f aca="false">IF(A102&lt;&gt;"",MIN(0,E102-MAX($E$6:E102)),"")</f>
        <v/>
      </c>
      <c r="G102" s="35" t="str">
        <f aca="false">IF(A102&lt;&gt;"",IFERROR(F102/MAX($E$6:E102),0),"")</f>
        <v/>
      </c>
    </row>
    <row r="103" customFormat="false" ht="15" hidden="false" customHeight="false" outlineLevel="0" collapsed="false">
      <c r="A103" s="9" t="str">
        <f aca="false">IF('📋 Trade Log'!B101&lt;&gt;"",'📋 Trade Log'!A101,"")</f>
        <v/>
      </c>
      <c r="B103" s="10" t="str">
        <f aca="false">IF('📋 Trade Log'!B101&lt;&gt;"",'📋 Trade Log'!B101,"")</f>
        <v/>
      </c>
      <c r="C103" s="12" t="str">
        <f aca="false">IF('📋 Trade Log'!L101&lt;&gt;"",'📋 Trade Log'!L101,"")</f>
        <v/>
      </c>
      <c r="D103" s="12" t="str">
        <f aca="false">IF(A103&lt;&gt;"",SUM($C$6:C103),"")</f>
        <v/>
      </c>
      <c r="E103" s="12" t="str">
        <f aca="false">IF(A103&lt;&gt;"",B$3+D103,"")</f>
        <v/>
      </c>
      <c r="F103" s="12" t="str">
        <f aca="false">IF(A103&lt;&gt;"",MIN(0,E103-MAX($E$6:E103)),"")</f>
        <v/>
      </c>
      <c r="G103" s="36" t="str">
        <f aca="false">IF(A103&lt;&gt;"",IFERROR(F103/MAX($E$6:E103),0),"")</f>
        <v/>
      </c>
    </row>
    <row r="104" customFormat="false" ht="15" hidden="false" customHeight="false" outlineLevel="0" collapsed="false">
      <c r="A104" s="4" t="str">
        <f aca="false">IF('📋 Trade Log'!B102&lt;&gt;"",'📋 Trade Log'!A102,"")</f>
        <v/>
      </c>
      <c r="B104" s="5" t="str">
        <f aca="false">IF('📋 Trade Log'!B102&lt;&gt;"",'📋 Trade Log'!B102,"")</f>
        <v/>
      </c>
      <c r="C104" s="7" t="str">
        <f aca="false">IF('📋 Trade Log'!L102&lt;&gt;"",'📋 Trade Log'!L102,"")</f>
        <v/>
      </c>
      <c r="D104" s="7" t="str">
        <f aca="false">IF(A104&lt;&gt;"",SUM($C$6:C104),"")</f>
        <v/>
      </c>
      <c r="E104" s="7" t="str">
        <f aca="false">IF(A104&lt;&gt;"",B$3+D104,"")</f>
        <v/>
      </c>
      <c r="F104" s="7" t="str">
        <f aca="false">IF(A104&lt;&gt;"",MIN(0,E104-MAX($E$6:E104)),"")</f>
        <v/>
      </c>
      <c r="G104" s="35" t="str">
        <f aca="false">IF(A104&lt;&gt;"",IFERROR(F104/MAX($E$6:E104),0),"")</f>
        <v/>
      </c>
    </row>
    <row r="105" customFormat="false" ht="15" hidden="false" customHeight="false" outlineLevel="0" collapsed="false">
      <c r="A105" s="9" t="str">
        <f aca="false">IF('📋 Trade Log'!B103&lt;&gt;"",'📋 Trade Log'!A103,"")</f>
        <v/>
      </c>
      <c r="B105" s="10" t="str">
        <f aca="false">IF('📋 Trade Log'!B103&lt;&gt;"",'📋 Trade Log'!B103,"")</f>
        <v/>
      </c>
      <c r="C105" s="12" t="str">
        <f aca="false">IF('📋 Trade Log'!L103&lt;&gt;"",'📋 Trade Log'!L103,"")</f>
        <v/>
      </c>
      <c r="D105" s="12" t="str">
        <f aca="false">IF(A105&lt;&gt;"",SUM($C$6:C105),"")</f>
        <v/>
      </c>
      <c r="E105" s="12" t="str">
        <f aca="false">IF(A105&lt;&gt;"",B$3+D105,"")</f>
        <v/>
      </c>
      <c r="F105" s="12" t="str">
        <f aca="false">IF(A105&lt;&gt;"",MIN(0,E105-MAX($E$6:E105)),"")</f>
        <v/>
      </c>
      <c r="G105" s="36" t="str">
        <f aca="false">IF(A105&lt;&gt;"",IFERROR(F105/MAX($E$6:E105),0),"")</f>
        <v/>
      </c>
    </row>
    <row r="106" customFormat="false" ht="15" hidden="false" customHeight="false" outlineLevel="0" collapsed="false">
      <c r="A106" s="4" t="str">
        <f aca="false">IF('📋 Trade Log'!B104&lt;&gt;"",'📋 Trade Log'!A104,"")</f>
        <v/>
      </c>
      <c r="B106" s="5" t="str">
        <f aca="false">IF('📋 Trade Log'!B104&lt;&gt;"",'📋 Trade Log'!B104,"")</f>
        <v/>
      </c>
      <c r="C106" s="7" t="str">
        <f aca="false">IF('📋 Trade Log'!L104&lt;&gt;"",'📋 Trade Log'!L104,"")</f>
        <v/>
      </c>
      <c r="D106" s="7" t="str">
        <f aca="false">IF(A106&lt;&gt;"",SUM($C$6:C106),"")</f>
        <v/>
      </c>
      <c r="E106" s="7" t="str">
        <f aca="false">IF(A106&lt;&gt;"",B$3+D106,"")</f>
        <v/>
      </c>
      <c r="F106" s="7" t="str">
        <f aca="false">IF(A106&lt;&gt;"",MIN(0,E106-MAX($E$6:E106)),"")</f>
        <v/>
      </c>
      <c r="G106" s="35" t="str">
        <f aca="false">IF(A106&lt;&gt;"",IFERROR(F106/MAX($E$6:E106),0),"")</f>
        <v/>
      </c>
    </row>
    <row r="107" customFormat="false" ht="15" hidden="false" customHeight="false" outlineLevel="0" collapsed="false">
      <c r="A107" s="9" t="str">
        <f aca="false">IF('📋 Trade Log'!B105&lt;&gt;"",'📋 Trade Log'!A105,"")</f>
        <v/>
      </c>
      <c r="B107" s="10" t="str">
        <f aca="false">IF('📋 Trade Log'!B105&lt;&gt;"",'📋 Trade Log'!B105,"")</f>
        <v/>
      </c>
      <c r="C107" s="12" t="str">
        <f aca="false">IF('📋 Trade Log'!L105&lt;&gt;"",'📋 Trade Log'!L105,"")</f>
        <v/>
      </c>
      <c r="D107" s="12" t="str">
        <f aca="false">IF(A107&lt;&gt;"",SUM($C$6:C107),"")</f>
        <v/>
      </c>
      <c r="E107" s="12" t="str">
        <f aca="false">IF(A107&lt;&gt;"",B$3+D107,"")</f>
        <v/>
      </c>
      <c r="F107" s="12" t="str">
        <f aca="false">IF(A107&lt;&gt;"",MIN(0,E107-MAX($E$6:E107)),"")</f>
        <v/>
      </c>
      <c r="G107" s="36" t="str">
        <f aca="false">IF(A107&lt;&gt;"",IFERROR(F107/MAX($E$6:E107),0),"")</f>
        <v/>
      </c>
    </row>
    <row r="108" customFormat="false" ht="15" hidden="false" customHeight="false" outlineLevel="0" collapsed="false">
      <c r="A108" s="4" t="str">
        <f aca="false">IF('📋 Trade Log'!B106&lt;&gt;"",'📋 Trade Log'!A106,"")</f>
        <v/>
      </c>
      <c r="B108" s="5" t="str">
        <f aca="false">IF('📋 Trade Log'!B106&lt;&gt;"",'📋 Trade Log'!B106,"")</f>
        <v/>
      </c>
      <c r="C108" s="7" t="str">
        <f aca="false">IF('📋 Trade Log'!L106&lt;&gt;"",'📋 Trade Log'!L106,"")</f>
        <v/>
      </c>
      <c r="D108" s="7" t="str">
        <f aca="false">IF(A108&lt;&gt;"",SUM($C$6:C108),"")</f>
        <v/>
      </c>
      <c r="E108" s="7" t="str">
        <f aca="false">IF(A108&lt;&gt;"",B$3+D108,"")</f>
        <v/>
      </c>
      <c r="F108" s="7" t="str">
        <f aca="false">IF(A108&lt;&gt;"",MIN(0,E108-MAX($E$6:E108)),"")</f>
        <v/>
      </c>
      <c r="G108" s="35" t="str">
        <f aca="false">IF(A108&lt;&gt;"",IFERROR(F108/MAX($E$6:E108),0),"")</f>
        <v/>
      </c>
    </row>
    <row r="109" customFormat="false" ht="15" hidden="false" customHeight="false" outlineLevel="0" collapsed="false">
      <c r="A109" s="9" t="str">
        <f aca="false">IF('📋 Trade Log'!B107&lt;&gt;"",'📋 Trade Log'!A107,"")</f>
        <v/>
      </c>
      <c r="B109" s="10" t="str">
        <f aca="false">IF('📋 Trade Log'!B107&lt;&gt;"",'📋 Trade Log'!B107,"")</f>
        <v/>
      </c>
      <c r="C109" s="12" t="str">
        <f aca="false">IF('📋 Trade Log'!L107&lt;&gt;"",'📋 Trade Log'!L107,"")</f>
        <v/>
      </c>
      <c r="D109" s="12" t="str">
        <f aca="false">IF(A109&lt;&gt;"",SUM($C$6:C109),"")</f>
        <v/>
      </c>
      <c r="E109" s="12" t="str">
        <f aca="false">IF(A109&lt;&gt;"",B$3+D109,"")</f>
        <v/>
      </c>
      <c r="F109" s="12" t="str">
        <f aca="false">IF(A109&lt;&gt;"",MIN(0,E109-MAX($E$6:E109)),"")</f>
        <v/>
      </c>
      <c r="G109" s="36" t="str">
        <f aca="false">IF(A109&lt;&gt;"",IFERROR(F109/MAX($E$6:E109),0),"")</f>
        <v/>
      </c>
    </row>
    <row r="110" customFormat="false" ht="15" hidden="false" customHeight="false" outlineLevel="0" collapsed="false">
      <c r="A110" s="4" t="str">
        <f aca="false">IF('📋 Trade Log'!B108&lt;&gt;"",'📋 Trade Log'!A108,"")</f>
        <v/>
      </c>
      <c r="B110" s="5" t="str">
        <f aca="false">IF('📋 Trade Log'!B108&lt;&gt;"",'📋 Trade Log'!B108,"")</f>
        <v/>
      </c>
      <c r="C110" s="7" t="str">
        <f aca="false">IF('📋 Trade Log'!L108&lt;&gt;"",'📋 Trade Log'!L108,"")</f>
        <v/>
      </c>
      <c r="D110" s="7" t="str">
        <f aca="false">IF(A110&lt;&gt;"",SUM($C$6:C110),"")</f>
        <v/>
      </c>
      <c r="E110" s="7" t="str">
        <f aca="false">IF(A110&lt;&gt;"",B$3+D110,"")</f>
        <v/>
      </c>
      <c r="F110" s="7" t="str">
        <f aca="false">IF(A110&lt;&gt;"",MIN(0,E110-MAX($E$6:E110)),"")</f>
        <v/>
      </c>
      <c r="G110" s="35" t="str">
        <f aca="false">IF(A110&lt;&gt;"",IFERROR(F110/MAX($E$6:E110),0),"")</f>
        <v/>
      </c>
    </row>
    <row r="111" customFormat="false" ht="15" hidden="false" customHeight="false" outlineLevel="0" collapsed="false">
      <c r="A111" s="9" t="str">
        <f aca="false">IF('📋 Trade Log'!B109&lt;&gt;"",'📋 Trade Log'!A109,"")</f>
        <v/>
      </c>
      <c r="B111" s="10" t="str">
        <f aca="false">IF('📋 Trade Log'!B109&lt;&gt;"",'📋 Trade Log'!B109,"")</f>
        <v/>
      </c>
      <c r="C111" s="12" t="str">
        <f aca="false">IF('📋 Trade Log'!L109&lt;&gt;"",'📋 Trade Log'!L109,"")</f>
        <v/>
      </c>
      <c r="D111" s="12" t="str">
        <f aca="false">IF(A111&lt;&gt;"",SUM($C$6:C111),"")</f>
        <v/>
      </c>
      <c r="E111" s="12" t="str">
        <f aca="false">IF(A111&lt;&gt;"",B$3+D111,"")</f>
        <v/>
      </c>
      <c r="F111" s="12" t="str">
        <f aca="false">IF(A111&lt;&gt;"",MIN(0,E111-MAX($E$6:E111)),"")</f>
        <v/>
      </c>
      <c r="G111" s="36" t="str">
        <f aca="false">IF(A111&lt;&gt;"",IFERROR(F111/MAX($E$6:E111),0),"")</f>
        <v/>
      </c>
    </row>
    <row r="112" customFormat="false" ht="15" hidden="false" customHeight="false" outlineLevel="0" collapsed="false">
      <c r="A112" s="4" t="str">
        <f aca="false">IF('📋 Trade Log'!B110&lt;&gt;"",'📋 Trade Log'!A110,"")</f>
        <v/>
      </c>
      <c r="B112" s="5" t="str">
        <f aca="false">IF('📋 Trade Log'!B110&lt;&gt;"",'📋 Trade Log'!B110,"")</f>
        <v/>
      </c>
      <c r="C112" s="7" t="str">
        <f aca="false">IF('📋 Trade Log'!L110&lt;&gt;"",'📋 Trade Log'!L110,"")</f>
        <v/>
      </c>
      <c r="D112" s="7" t="str">
        <f aca="false">IF(A112&lt;&gt;"",SUM($C$6:C112),"")</f>
        <v/>
      </c>
      <c r="E112" s="7" t="str">
        <f aca="false">IF(A112&lt;&gt;"",B$3+D112,"")</f>
        <v/>
      </c>
      <c r="F112" s="7" t="str">
        <f aca="false">IF(A112&lt;&gt;"",MIN(0,E112-MAX($E$6:E112)),"")</f>
        <v/>
      </c>
      <c r="G112" s="35" t="str">
        <f aca="false">IF(A112&lt;&gt;"",IFERROR(F112/MAX($E$6:E112),0),"")</f>
        <v/>
      </c>
    </row>
    <row r="113" customFormat="false" ht="15" hidden="false" customHeight="false" outlineLevel="0" collapsed="false">
      <c r="A113" s="9" t="str">
        <f aca="false">IF('📋 Trade Log'!B111&lt;&gt;"",'📋 Trade Log'!A111,"")</f>
        <v/>
      </c>
      <c r="B113" s="10" t="str">
        <f aca="false">IF('📋 Trade Log'!B111&lt;&gt;"",'📋 Trade Log'!B111,"")</f>
        <v/>
      </c>
      <c r="C113" s="12" t="str">
        <f aca="false">IF('📋 Trade Log'!L111&lt;&gt;"",'📋 Trade Log'!L111,"")</f>
        <v/>
      </c>
      <c r="D113" s="12" t="str">
        <f aca="false">IF(A113&lt;&gt;"",SUM($C$6:C113),"")</f>
        <v/>
      </c>
      <c r="E113" s="12" t="str">
        <f aca="false">IF(A113&lt;&gt;"",B$3+D113,"")</f>
        <v/>
      </c>
      <c r="F113" s="12" t="str">
        <f aca="false">IF(A113&lt;&gt;"",MIN(0,E113-MAX($E$6:E113)),"")</f>
        <v/>
      </c>
      <c r="G113" s="36" t="str">
        <f aca="false">IF(A113&lt;&gt;"",IFERROR(F113/MAX($E$6:E113),0),"")</f>
        <v/>
      </c>
    </row>
    <row r="114" customFormat="false" ht="15" hidden="false" customHeight="false" outlineLevel="0" collapsed="false">
      <c r="A114" s="4" t="str">
        <f aca="false">IF('📋 Trade Log'!B112&lt;&gt;"",'📋 Trade Log'!A112,"")</f>
        <v/>
      </c>
      <c r="B114" s="5" t="str">
        <f aca="false">IF('📋 Trade Log'!B112&lt;&gt;"",'📋 Trade Log'!B112,"")</f>
        <v/>
      </c>
      <c r="C114" s="7" t="str">
        <f aca="false">IF('📋 Trade Log'!L112&lt;&gt;"",'📋 Trade Log'!L112,"")</f>
        <v/>
      </c>
      <c r="D114" s="7" t="str">
        <f aca="false">IF(A114&lt;&gt;"",SUM($C$6:C114),"")</f>
        <v/>
      </c>
      <c r="E114" s="7" t="str">
        <f aca="false">IF(A114&lt;&gt;"",B$3+D114,"")</f>
        <v/>
      </c>
      <c r="F114" s="7" t="str">
        <f aca="false">IF(A114&lt;&gt;"",MIN(0,E114-MAX($E$6:E114)),"")</f>
        <v/>
      </c>
      <c r="G114" s="35" t="str">
        <f aca="false">IF(A114&lt;&gt;"",IFERROR(F114/MAX($E$6:E114),0),"")</f>
        <v/>
      </c>
    </row>
    <row r="115" customFormat="false" ht="15" hidden="false" customHeight="false" outlineLevel="0" collapsed="false">
      <c r="A115" s="9" t="str">
        <f aca="false">IF('📋 Trade Log'!B113&lt;&gt;"",'📋 Trade Log'!A113,"")</f>
        <v/>
      </c>
      <c r="B115" s="10" t="str">
        <f aca="false">IF('📋 Trade Log'!B113&lt;&gt;"",'📋 Trade Log'!B113,"")</f>
        <v/>
      </c>
      <c r="C115" s="12" t="str">
        <f aca="false">IF('📋 Trade Log'!L113&lt;&gt;"",'📋 Trade Log'!L113,"")</f>
        <v/>
      </c>
      <c r="D115" s="12" t="str">
        <f aca="false">IF(A115&lt;&gt;"",SUM($C$6:C115),"")</f>
        <v/>
      </c>
      <c r="E115" s="12" t="str">
        <f aca="false">IF(A115&lt;&gt;"",B$3+D115,"")</f>
        <v/>
      </c>
      <c r="F115" s="12" t="str">
        <f aca="false">IF(A115&lt;&gt;"",MIN(0,E115-MAX($E$6:E115)),"")</f>
        <v/>
      </c>
      <c r="G115" s="36" t="str">
        <f aca="false">IF(A115&lt;&gt;"",IFERROR(F115/MAX($E$6:E115),0),"")</f>
        <v/>
      </c>
    </row>
    <row r="116" customFormat="false" ht="15" hidden="false" customHeight="false" outlineLevel="0" collapsed="false">
      <c r="A116" s="4" t="str">
        <f aca="false">IF('📋 Trade Log'!B114&lt;&gt;"",'📋 Trade Log'!A114,"")</f>
        <v/>
      </c>
      <c r="B116" s="5" t="str">
        <f aca="false">IF('📋 Trade Log'!B114&lt;&gt;"",'📋 Trade Log'!B114,"")</f>
        <v/>
      </c>
      <c r="C116" s="7" t="str">
        <f aca="false">IF('📋 Trade Log'!L114&lt;&gt;"",'📋 Trade Log'!L114,"")</f>
        <v/>
      </c>
      <c r="D116" s="7" t="str">
        <f aca="false">IF(A116&lt;&gt;"",SUM($C$6:C116),"")</f>
        <v/>
      </c>
      <c r="E116" s="7" t="str">
        <f aca="false">IF(A116&lt;&gt;"",B$3+D116,"")</f>
        <v/>
      </c>
      <c r="F116" s="7" t="str">
        <f aca="false">IF(A116&lt;&gt;"",MIN(0,E116-MAX($E$6:E116)),"")</f>
        <v/>
      </c>
      <c r="G116" s="35" t="str">
        <f aca="false">IF(A116&lt;&gt;"",IFERROR(F116/MAX($E$6:E116),0),"")</f>
        <v/>
      </c>
    </row>
    <row r="117" customFormat="false" ht="15" hidden="false" customHeight="false" outlineLevel="0" collapsed="false">
      <c r="A117" s="9" t="str">
        <f aca="false">IF('📋 Trade Log'!B115&lt;&gt;"",'📋 Trade Log'!A115,"")</f>
        <v/>
      </c>
      <c r="B117" s="10" t="str">
        <f aca="false">IF('📋 Trade Log'!B115&lt;&gt;"",'📋 Trade Log'!B115,"")</f>
        <v/>
      </c>
      <c r="C117" s="12" t="str">
        <f aca="false">IF('📋 Trade Log'!L115&lt;&gt;"",'📋 Trade Log'!L115,"")</f>
        <v/>
      </c>
      <c r="D117" s="12" t="str">
        <f aca="false">IF(A117&lt;&gt;"",SUM($C$6:C117),"")</f>
        <v/>
      </c>
      <c r="E117" s="12" t="str">
        <f aca="false">IF(A117&lt;&gt;"",B$3+D117,"")</f>
        <v/>
      </c>
      <c r="F117" s="12" t="str">
        <f aca="false">IF(A117&lt;&gt;"",MIN(0,E117-MAX($E$6:E117)),"")</f>
        <v/>
      </c>
      <c r="G117" s="36" t="str">
        <f aca="false">IF(A117&lt;&gt;"",IFERROR(F117/MAX($E$6:E117),0),"")</f>
        <v/>
      </c>
    </row>
    <row r="118" customFormat="false" ht="15" hidden="false" customHeight="false" outlineLevel="0" collapsed="false">
      <c r="A118" s="4" t="str">
        <f aca="false">IF('📋 Trade Log'!B116&lt;&gt;"",'📋 Trade Log'!A116,"")</f>
        <v/>
      </c>
      <c r="B118" s="5" t="str">
        <f aca="false">IF('📋 Trade Log'!B116&lt;&gt;"",'📋 Trade Log'!B116,"")</f>
        <v/>
      </c>
      <c r="C118" s="7" t="str">
        <f aca="false">IF('📋 Trade Log'!L116&lt;&gt;"",'📋 Trade Log'!L116,"")</f>
        <v/>
      </c>
      <c r="D118" s="7" t="str">
        <f aca="false">IF(A118&lt;&gt;"",SUM($C$6:C118),"")</f>
        <v/>
      </c>
      <c r="E118" s="7" t="str">
        <f aca="false">IF(A118&lt;&gt;"",B$3+D118,"")</f>
        <v/>
      </c>
      <c r="F118" s="7" t="str">
        <f aca="false">IF(A118&lt;&gt;"",MIN(0,E118-MAX($E$6:E118)),"")</f>
        <v/>
      </c>
      <c r="G118" s="35" t="str">
        <f aca="false">IF(A118&lt;&gt;"",IFERROR(F118/MAX($E$6:E118),0),"")</f>
        <v/>
      </c>
    </row>
    <row r="119" customFormat="false" ht="15" hidden="false" customHeight="false" outlineLevel="0" collapsed="false">
      <c r="A119" s="9" t="str">
        <f aca="false">IF('📋 Trade Log'!B117&lt;&gt;"",'📋 Trade Log'!A117,"")</f>
        <v/>
      </c>
      <c r="B119" s="10" t="str">
        <f aca="false">IF('📋 Trade Log'!B117&lt;&gt;"",'📋 Trade Log'!B117,"")</f>
        <v/>
      </c>
      <c r="C119" s="12" t="str">
        <f aca="false">IF('📋 Trade Log'!L117&lt;&gt;"",'📋 Trade Log'!L117,"")</f>
        <v/>
      </c>
      <c r="D119" s="12" t="str">
        <f aca="false">IF(A119&lt;&gt;"",SUM($C$6:C119),"")</f>
        <v/>
      </c>
      <c r="E119" s="12" t="str">
        <f aca="false">IF(A119&lt;&gt;"",B$3+D119,"")</f>
        <v/>
      </c>
      <c r="F119" s="12" t="str">
        <f aca="false">IF(A119&lt;&gt;"",MIN(0,E119-MAX($E$6:E119)),"")</f>
        <v/>
      </c>
      <c r="G119" s="36" t="str">
        <f aca="false">IF(A119&lt;&gt;"",IFERROR(F119/MAX($E$6:E119),0),"")</f>
        <v/>
      </c>
    </row>
    <row r="120" customFormat="false" ht="15" hidden="false" customHeight="false" outlineLevel="0" collapsed="false">
      <c r="A120" s="4" t="str">
        <f aca="false">IF('📋 Trade Log'!B118&lt;&gt;"",'📋 Trade Log'!A118,"")</f>
        <v/>
      </c>
      <c r="B120" s="5" t="str">
        <f aca="false">IF('📋 Trade Log'!B118&lt;&gt;"",'📋 Trade Log'!B118,"")</f>
        <v/>
      </c>
      <c r="C120" s="7" t="str">
        <f aca="false">IF('📋 Trade Log'!L118&lt;&gt;"",'📋 Trade Log'!L118,"")</f>
        <v/>
      </c>
      <c r="D120" s="7" t="str">
        <f aca="false">IF(A120&lt;&gt;"",SUM($C$6:C120),"")</f>
        <v/>
      </c>
      <c r="E120" s="7" t="str">
        <f aca="false">IF(A120&lt;&gt;"",B$3+D120,"")</f>
        <v/>
      </c>
      <c r="F120" s="7" t="str">
        <f aca="false">IF(A120&lt;&gt;"",MIN(0,E120-MAX($E$6:E120)),"")</f>
        <v/>
      </c>
      <c r="G120" s="35" t="str">
        <f aca="false">IF(A120&lt;&gt;"",IFERROR(F120/MAX($E$6:E120),0),"")</f>
        <v/>
      </c>
    </row>
    <row r="121" customFormat="false" ht="15" hidden="false" customHeight="false" outlineLevel="0" collapsed="false">
      <c r="A121" s="9" t="str">
        <f aca="false">IF('📋 Trade Log'!B119&lt;&gt;"",'📋 Trade Log'!A119,"")</f>
        <v/>
      </c>
      <c r="B121" s="10" t="str">
        <f aca="false">IF('📋 Trade Log'!B119&lt;&gt;"",'📋 Trade Log'!B119,"")</f>
        <v/>
      </c>
      <c r="C121" s="12" t="str">
        <f aca="false">IF('📋 Trade Log'!L119&lt;&gt;"",'📋 Trade Log'!L119,"")</f>
        <v/>
      </c>
      <c r="D121" s="12" t="str">
        <f aca="false">IF(A121&lt;&gt;"",SUM($C$6:C121),"")</f>
        <v/>
      </c>
      <c r="E121" s="12" t="str">
        <f aca="false">IF(A121&lt;&gt;"",B$3+D121,"")</f>
        <v/>
      </c>
      <c r="F121" s="12" t="str">
        <f aca="false">IF(A121&lt;&gt;"",MIN(0,E121-MAX($E$6:E121)),"")</f>
        <v/>
      </c>
      <c r="G121" s="36" t="str">
        <f aca="false">IF(A121&lt;&gt;"",IFERROR(F121/MAX($E$6:E121),0),"")</f>
        <v/>
      </c>
    </row>
    <row r="122" customFormat="false" ht="15" hidden="false" customHeight="false" outlineLevel="0" collapsed="false">
      <c r="A122" s="4" t="str">
        <f aca="false">IF('📋 Trade Log'!B120&lt;&gt;"",'📋 Trade Log'!A120,"")</f>
        <v/>
      </c>
      <c r="B122" s="5" t="str">
        <f aca="false">IF('📋 Trade Log'!B120&lt;&gt;"",'📋 Trade Log'!B120,"")</f>
        <v/>
      </c>
      <c r="C122" s="7" t="str">
        <f aca="false">IF('📋 Trade Log'!L120&lt;&gt;"",'📋 Trade Log'!L120,"")</f>
        <v/>
      </c>
      <c r="D122" s="7" t="str">
        <f aca="false">IF(A122&lt;&gt;"",SUM($C$6:C122),"")</f>
        <v/>
      </c>
      <c r="E122" s="7" t="str">
        <f aca="false">IF(A122&lt;&gt;"",B$3+D122,"")</f>
        <v/>
      </c>
      <c r="F122" s="7" t="str">
        <f aca="false">IF(A122&lt;&gt;"",MIN(0,E122-MAX($E$6:E122)),"")</f>
        <v/>
      </c>
      <c r="G122" s="35" t="str">
        <f aca="false">IF(A122&lt;&gt;"",IFERROR(F122/MAX($E$6:E122),0),"")</f>
        <v/>
      </c>
    </row>
    <row r="123" customFormat="false" ht="15" hidden="false" customHeight="false" outlineLevel="0" collapsed="false">
      <c r="A123" s="9" t="str">
        <f aca="false">IF('📋 Trade Log'!B121&lt;&gt;"",'📋 Trade Log'!A121,"")</f>
        <v/>
      </c>
      <c r="B123" s="10" t="str">
        <f aca="false">IF('📋 Trade Log'!B121&lt;&gt;"",'📋 Trade Log'!B121,"")</f>
        <v/>
      </c>
      <c r="C123" s="12" t="str">
        <f aca="false">IF('📋 Trade Log'!L121&lt;&gt;"",'📋 Trade Log'!L121,"")</f>
        <v/>
      </c>
      <c r="D123" s="12" t="str">
        <f aca="false">IF(A123&lt;&gt;"",SUM($C$6:C123),"")</f>
        <v/>
      </c>
      <c r="E123" s="12" t="str">
        <f aca="false">IF(A123&lt;&gt;"",B$3+D123,"")</f>
        <v/>
      </c>
      <c r="F123" s="12" t="str">
        <f aca="false">IF(A123&lt;&gt;"",MIN(0,E123-MAX($E$6:E123)),"")</f>
        <v/>
      </c>
      <c r="G123" s="36" t="str">
        <f aca="false">IF(A123&lt;&gt;"",IFERROR(F123/MAX($E$6:E123),0),"")</f>
        <v/>
      </c>
    </row>
    <row r="124" customFormat="false" ht="15" hidden="false" customHeight="false" outlineLevel="0" collapsed="false">
      <c r="A124" s="4" t="str">
        <f aca="false">IF('📋 Trade Log'!B122&lt;&gt;"",'📋 Trade Log'!A122,"")</f>
        <v/>
      </c>
      <c r="B124" s="5" t="str">
        <f aca="false">IF('📋 Trade Log'!B122&lt;&gt;"",'📋 Trade Log'!B122,"")</f>
        <v/>
      </c>
      <c r="C124" s="7" t="str">
        <f aca="false">IF('📋 Trade Log'!L122&lt;&gt;"",'📋 Trade Log'!L122,"")</f>
        <v/>
      </c>
      <c r="D124" s="7" t="str">
        <f aca="false">IF(A124&lt;&gt;"",SUM($C$6:C124),"")</f>
        <v/>
      </c>
      <c r="E124" s="7" t="str">
        <f aca="false">IF(A124&lt;&gt;"",B$3+D124,"")</f>
        <v/>
      </c>
      <c r="F124" s="7" t="str">
        <f aca="false">IF(A124&lt;&gt;"",MIN(0,E124-MAX($E$6:E124)),"")</f>
        <v/>
      </c>
      <c r="G124" s="35" t="str">
        <f aca="false">IF(A124&lt;&gt;"",IFERROR(F124/MAX($E$6:E124),0),"")</f>
        <v/>
      </c>
    </row>
    <row r="125" customFormat="false" ht="15" hidden="false" customHeight="false" outlineLevel="0" collapsed="false">
      <c r="A125" s="9" t="str">
        <f aca="false">IF('📋 Trade Log'!B123&lt;&gt;"",'📋 Trade Log'!A123,"")</f>
        <v/>
      </c>
      <c r="B125" s="10" t="str">
        <f aca="false">IF('📋 Trade Log'!B123&lt;&gt;"",'📋 Trade Log'!B123,"")</f>
        <v/>
      </c>
      <c r="C125" s="12" t="str">
        <f aca="false">IF('📋 Trade Log'!L123&lt;&gt;"",'📋 Trade Log'!L123,"")</f>
        <v/>
      </c>
      <c r="D125" s="12" t="str">
        <f aca="false">IF(A125&lt;&gt;"",SUM($C$6:C125),"")</f>
        <v/>
      </c>
      <c r="E125" s="12" t="str">
        <f aca="false">IF(A125&lt;&gt;"",B$3+D125,"")</f>
        <v/>
      </c>
      <c r="F125" s="12" t="str">
        <f aca="false">IF(A125&lt;&gt;"",MIN(0,E125-MAX($E$6:E125)),"")</f>
        <v/>
      </c>
      <c r="G125" s="36" t="str">
        <f aca="false">IF(A125&lt;&gt;"",IFERROR(F125/MAX($E$6:E125),0),"")</f>
        <v/>
      </c>
    </row>
    <row r="126" customFormat="false" ht="15" hidden="false" customHeight="false" outlineLevel="0" collapsed="false">
      <c r="A126" s="4" t="str">
        <f aca="false">IF('📋 Trade Log'!B124&lt;&gt;"",'📋 Trade Log'!A124,"")</f>
        <v/>
      </c>
      <c r="B126" s="5" t="str">
        <f aca="false">IF('📋 Trade Log'!B124&lt;&gt;"",'📋 Trade Log'!B124,"")</f>
        <v/>
      </c>
      <c r="C126" s="7" t="str">
        <f aca="false">IF('📋 Trade Log'!L124&lt;&gt;"",'📋 Trade Log'!L124,"")</f>
        <v/>
      </c>
      <c r="D126" s="7" t="str">
        <f aca="false">IF(A126&lt;&gt;"",SUM($C$6:C126),"")</f>
        <v/>
      </c>
      <c r="E126" s="7" t="str">
        <f aca="false">IF(A126&lt;&gt;"",B$3+D126,"")</f>
        <v/>
      </c>
      <c r="F126" s="7" t="str">
        <f aca="false">IF(A126&lt;&gt;"",MIN(0,E126-MAX($E$6:E126)),"")</f>
        <v/>
      </c>
      <c r="G126" s="35" t="str">
        <f aca="false">IF(A126&lt;&gt;"",IFERROR(F126/MAX($E$6:E126),0),"")</f>
        <v/>
      </c>
    </row>
    <row r="127" customFormat="false" ht="15" hidden="false" customHeight="false" outlineLevel="0" collapsed="false">
      <c r="A127" s="9" t="str">
        <f aca="false">IF('📋 Trade Log'!B125&lt;&gt;"",'📋 Trade Log'!A125,"")</f>
        <v/>
      </c>
      <c r="B127" s="10" t="str">
        <f aca="false">IF('📋 Trade Log'!B125&lt;&gt;"",'📋 Trade Log'!B125,"")</f>
        <v/>
      </c>
      <c r="C127" s="12" t="str">
        <f aca="false">IF('📋 Trade Log'!L125&lt;&gt;"",'📋 Trade Log'!L125,"")</f>
        <v/>
      </c>
      <c r="D127" s="12" t="str">
        <f aca="false">IF(A127&lt;&gt;"",SUM($C$6:C127),"")</f>
        <v/>
      </c>
      <c r="E127" s="12" t="str">
        <f aca="false">IF(A127&lt;&gt;"",B$3+D127,"")</f>
        <v/>
      </c>
      <c r="F127" s="12" t="str">
        <f aca="false">IF(A127&lt;&gt;"",MIN(0,E127-MAX($E$6:E127)),"")</f>
        <v/>
      </c>
      <c r="G127" s="36" t="str">
        <f aca="false">IF(A127&lt;&gt;"",IFERROR(F127/MAX($E$6:E127),0),"")</f>
        <v/>
      </c>
    </row>
    <row r="128" customFormat="false" ht="15" hidden="false" customHeight="false" outlineLevel="0" collapsed="false">
      <c r="A128" s="4" t="str">
        <f aca="false">IF('📋 Trade Log'!B126&lt;&gt;"",'📋 Trade Log'!A126,"")</f>
        <v/>
      </c>
      <c r="B128" s="5" t="str">
        <f aca="false">IF('📋 Trade Log'!B126&lt;&gt;"",'📋 Trade Log'!B126,"")</f>
        <v/>
      </c>
      <c r="C128" s="7" t="str">
        <f aca="false">IF('📋 Trade Log'!L126&lt;&gt;"",'📋 Trade Log'!L126,"")</f>
        <v/>
      </c>
      <c r="D128" s="7" t="str">
        <f aca="false">IF(A128&lt;&gt;"",SUM($C$6:C128),"")</f>
        <v/>
      </c>
      <c r="E128" s="7" t="str">
        <f aca="false">IF(A128&lt;&gt;"",B$3+D128,"")</f>
        <v/>
      </c>
      <c r="F128" s="7" t="str">
        <f aca="false">IF(A128&lt;&gt;"",MIN(0,E128-MAX($E$6:E128)),"")</f>
        <v/>
      </c>
      <c r="G128" s="35" t="str">
        <f aca="false">IF(A128&lt;&gt;"",IFERROR(F128/MAX($E$6:E128),0),"")</f>
        <v/>
      </c>
    </row>
    <row r="129" customFormat="false" ht="15" hidden="false" customHeight="false" outlineLevel="0" collapsed="false">
      <c r="A129" s="9" t="str">
        <f aca="false">IF('📋 Trade Log'!B127&lt;&gt;"",'📋 Trade Log'!A127,"")</f>
        <v/>
      </c>
      <c r="B129" s="10" t="str">
        <f aca="false">IF('📋 Trade Log'!B127&lt;&gt;"",'📋 Trade Log'!B127,"")</f>
        <v/>
      </c>
      <c r="C129" s="12" t="str">
        <f aca="false">IF('📋 Trade Log'!L127&lt;&gt;"",'📋 Trade Log'!L127,"")</f>
        <v/>
      </c>
      <c r="D129" s="12" t="str">
        <f aca="false">IF(A129&lt;&gt;"",SUM($C$6:C129),"")</f>
        <v/>
      </c>
      <c r="E129" s="12" t="str">
        <f aca="false">IF(A129&lt;&gt;"",B$3+D129,"")</f>
        <v/>
      </c>
      <c r="F129" s="12" t="str">
        <f aca="false">IF(A129&lt;&gt;"",MIN(0,E129-MAX($E$6:E129)),"")</f>
        <v/>
      </c>
      <c r="G129" s="36" t="str">
        <f aca="false">IF(A129&lt;&gt;"",IFERROR(F129/MAX($E$6:E129),0),"")</f>
        <v/>
      </c>
    </row>
    <row r="130" customFormat="false" ht="15" hidden="false" customHeight="false" outlineLevel="0" collapsed="false">
      <c r="A130" s="4" t="str">
        <f aca="false">IF('📋 Trade Log'!B128&lt;&gt;"",'📋 Trade Log'!A128,"")</f>
        <v/>
      </c>
      <c r="B130" s="5" t="str">
        <f aca="false">IF('📋 Trade Log'!B128&lt;&gt;"",'📋 Trade Log'!B128,"")</f>
        <v/>
      </c>
      <c r="C130" s="7" t="str">
        <f aca="false">IF('📋 Trade Log'!L128&lt;&gt;"",'📋 Trade Log'!L128,"")</f>
        <v/>
      </c>
      <c r="D130" s="7" t="str">
        <f aca="false">IF(A130&lt;&gt;"",SUM($C$6:C130),"")</f>
        <v/>
      </c>
      <c r="E130" s="7" t="str">
        <f aca="false">IF(A130&lt;&gt;"",B$3+D130,"")</f>
        <v/>
      </c>
      <c r="F130" s="7" t="str">
        <f aca="false">IF(A130&lt;&gt;"",MIN(0,E130-MAX($E$6:E130)),"")</f>
        <v/>
      </c>
      <c r="G130" s="35" t="str">
        <f aca="false">IF(A130&lt;&gt;"",IFERROR(F130/MAX($E$6:E130),0),"")</f>
        <v/>
      </c>
    </row>
    <row r="131" customFormat="false" ht="15" hidden="false" customHeight="false" outlineLevel="0" collapsed="false">
      <c r="A131" s="9" t="str">
        <f aca="false">IF('📋 Trade Log'!B129&lt;&gt;"",'📋 Trade Log'!A129,"")</f>
        <v/>
      </c>
      <c r="B131" s="10" t="str">
        <f aca="false">IF('📋 Trade Log'!B129&lt;&gt;"",'📋 Trade Log'!B129,"")</f>
        <v/>
      </c>
      <c r="C131" s="12" t="str">
        <f aca="false">IF('📋 Trade Log'!L129&lt;&gt;"",'📋 Trade Log'!L129,"")</f>
        <v/>
      </c>
      <c r="D131" s="12" t="str">
        <f aca="false">IF(A131&lt;&gt;"",SUM($C$6:C131),"")</f>
        <v/>
      </c>
      <c r="E131" s="12" t="str">
        <f aca="false">IF(A131&lt;&gt;"",B$3+D131,"")</f>
        <v/>
      </c>
      <c r="F131" s="12" t="str">
        <f aca="false">IF(A131&lt;&gt;"",MIN(0,E131-MAX($E$6:E131)),"")</f>
        <v/>
      </c>
      <c r="G131" s="36" t="str">
        <f aca="false">IF(A131&lt;&gt;"",IFERROR(F131/MAX($E$6:E131),0),"")</f>
        <v/>
      </c>
    </row>
    <row r="132" customFormat="false" ht="15" hidden="false" customHeight="false" outlineLevel="0" collapsed="false">
      <c r="A132" s="4" t="str">
        <f aca="false">IF('📋 Trade Log'!B130&lt;&gt;"",'📋 Trade Log'!A130,"")</f>
        <v/>
      </c>
      <c r="B132" s="5" t="str">
        <f aca="false">IF('📋 Trade Log'!B130&lt;&gt;"",'📋 Trade Log'!B130,"")</f>
        <v/>
      </c>
      <c r="C132" s="7" t="str">
        <f aca="false">IF('📋 Trade Log'!L130&lt;&gt;"",'📋 Trade Log'!L130,"")</f>
        <v/>
      </c>
      <c r="D132" s="7" t="str">
        <f aca="false">IF(A132&lt;&gt;"",SUM($C$6:C132),"")</f>
        <v/>
      </c>
      <c r="E132" s="7" t="str">
        <f aca="false">IF(A132&lt;&gt;"",B$3+D132,"")</f>
        <v/>
      </c>
      <c r="F132" s="7" t="str">
        <f aca="false">IF(A132&lt;&gt;"",MIN(0,E132-MAX($E$6:E132)),"")</f>
        <v/>
      </c>
      <c r="G132" s="35" t="str">
        <f aca="false">IF(A132&lt;&gt;"",IFERROR(F132/MAX($E$6:E132),0),"")</f>
        <v/>
      </c>
    </row>
    <row r="133" customFormat="false" ht="15" hidden="false" customHeight="false" outlineLevel="0" collapsed="false">
      <c r="A133" s="9" t="str">
        <f aca="false">IF('📋 Trade Log'!B131&lt;&gt;"",'📋 Trade Log'!A131,"")</f>
        <v/>
      </c>
      <c r="B133" s="10" t="str">
        <f aca="false">IF('📋 Trade Log'!B131&lt;&gt;"",'📋 Trade Log'!B131,"")</f>
        <v/>
      </c>
      <c r="C133" s="12" t="str">
        <f aca="false">IF('📋 Trade Log'!L131&lt;&gt;"",'📋 Trade Log'!L131,"")</f>
        <v/>
      </c>
      <c r="D133" s="12" t="str">
        <f aca="false">IF(A133&lt;&gt;"",SUM($C$6:C133),"")</f>
        <v/>
      </c>
      <c r="E133" s="12" t="str">
        <f aca="false">IF(A133&lt;&gt;"",B$3+D133,"")</f>
        <v/>
      </c>
      <c r="F133" s="12" t="str">
        <f aca="false">IF(A133&lt;&gt;"",MIN(0,E133-MAX($E$6:E133)),"")</f>
        <v/>
      </c>
      <c r="G133" s="36" t="str">
        <f aca="false">IF(A133&lt;&gt;"",IFERROR(F133/MAX($E$6:E133),0),"")</f>
        <v/>
      </c>
    </row>
    <row r="134" customFormat="false" ht="15" hidden="false" customHeight="false" outlineLevel="0" collapsed="false">
      <c r="A134" s="4" t="str">
        <f aca="false">IF('📋 Trade Log'!B132&lt;&gt;"",'📋 Trade Log'!A132,"")</f>
        <v/>
      </c>
      <c r="B134" s="5" t="str">
        <f aca="false">IF('📋 Trade Log'!B132&lt;&gt;"",'📋 Trade Log'!B132,"")</f>
        <v/>
      </c>
      <c r="C134" s="7" t="str">
        <f aca="false">IF('📋 Trade Log'!L132&lt;&gt;"",'📋 Trade Log'!L132,"")</f>
        <v/>
      </c>
      <c r="D134" s="7" t="str">
        <f aca="false">IF(A134&lt;&gt;"",SUM($C$6:C134),"")</f>
        <v/>
      </c>
      <c r="E134" s="7" t="str">
        <f aca="false">IF(A134&lt;&gt;"",B$3+D134,"")</f>
        <v/>
      </c>
      <c r="F134" s="7" t="str">
        <f aca="false">IF(A134&lt;&gt;"",MIN(0,E134-MAX($E$6:E134)),"")</f>
        <v/>
      </c>
      <c r="G134" s="35" t="str">
        <f aca="false">IF(A134&lt;&gt;"",IFERROR(F134/MAX($E$6:E134),0),"")</f>
        <v/>
      </c>
    </row>
    <row r="135" customFormat="false" ht="15" hidden="false" customHeight="false" outlineLevel="0" collapsed="false">
      <c r="A135" s="9" t="str">
        <f aca="false">IF('📋 Trade Log'!B133&lt;&gt;"",'📋 Trade Log'!A133,"")</f>
        <v/>
      </c>
      <c r="B135" s="10" t="str">
        <f aca="false">IF('📋 Trade Log'!B133&lt;&gt;"",'📋 Trade Log'!B133,"")</f>
        <v/>
      </c>
      <c r="C135" s="12" t="str">
        <f aca="false">IF('📋 Trade Log'!L133&lt;&gt;"",'📋 Trade Log'!L133,"")</f>
        <v/>
      </c>
      <c r="D135" s="12" t="str">
        <f aca="false">IF(A135&lt;&gt;"",SUM($C$6:C135),"")</f>
        <v/>
      </c>
      <c r="E135" s="12" t="str">
        <f aca="false">IF(A135&lt;&gt;"",B$3+D135,"")</f>
        <v/>
      </c>
      <c r="F135" s="12" t="str">
        <f aca="false">IF(A135&lt;&gt;"",MIN(0,E135-MAX($E$6:E135)),"")</f>
        <v/>
      </c>
      <c r="G135" s="36" t="str">
        <f aca="false">IF(A135&lt;&gt;"",IFERROR(F135/MAX($E$6:E135),0),"")</f>
        <v/>
      </c>
    </row>
    <row r="136" customFormat="false" ht="15" hidden="false" customHeight="false" outlineLevel="0" collapsed="false">
      <c r="A136" s="4" t="str">
        <f aca="false">IF('📋 Trade Log'!B134&lt;&gt;"",'📋 Trade Log'!A134,"")</f>
        <v/>
      </c>
      <c r="B136" s="5" t="str">
        <f aca="false">IF('📋 Trade Log'!B134&lt;&gt;"",'📋 Trade Log'!B134,"")</f>
        <v/>
      </c>
      <c r="C136" s="7" t="str">
        <f aca="false">IF('📋 Trade Log'!L134&lt;&gt;"",'📋 Trade Log'!L134,"")</f>
        <v/>
      </c>
      <c r="D136" s="7" t="str">
        <f aca="false">IF(A136&lt;&gt;"",SUM($C$6:C136),"")</f>
        <v/>
      </c>
      <c r="E136" s="7" t="str">
        <f aca="false">IF(A136&lt;&gt;"",B$3+D136,"")</f>
        <v/>
      </c>
      <c r="F136" s="7" t="str">
        <f aca="false">IF(A136&lt;&gt;"",MIN(0,E136-MAX($E$6:E136)),"")</f>
        <v/>
      </c>
      <c r="G136" s="35" t="str">
        <f aca="false">IF(A136&lt;&gt;"",IFERROR(F136/MAX($E$6:E136),0),"")</f>
        <v/>
      </c>
    </row>
    <row r="137" customFormat="false" ht="15" hidden="false" customHeight="false" outlineLevel="0" collapsed="false">
      <c r="A137" s="9" t="str">
        <f aca="false">IF('📋 Trade Log'!B135&lt;&gt;"",'📋 Trade Log'!A135,"")</f>
        <v/>
      </c>
      <c r="B137" s="10" t="str">
        <f aca="false">IF('📋 Trade Log'!B135&lt;&gt;"",'📋 Trade Log'!B135,"")</f>
        <v/>
      </c>
      <c r="C137" s="12" t="str">
        <f aca="false">IF('📋 Trade Log'!L135&lt;&gt;"",'📋 Trade Log'!L135,"")</f>
        <v/>
      </c>
      <c r="D137" s="12" t="str">
        <f aca="false">IF(A137&lt;&gt;"",SUM($C$6:C137),"")</f>
        <v/>
      </c>
      <c r="E137" s="12" t="str">
        <f aca="false">IF(A137&lt;&gt;"",B$3+D137,"")</f>
        <v/>
      </c>
      <c r="F137" s="12" t="str">
        <f aca="false">IF(A137&lt;&gt;"",MIN(0,E137-MAX($E$6:E137)),"")</f>
        <v/>
      </c>
      <c r="G137" s="36" t="str">
        <f aca="false">IF(A137&lt;&gt;"",IFERROR(F137/MAX($E$6:E137),0),"")</f>
        <v/>
      </c>
    </row>
    <row r="138" customFormat="false" ht="15" hidden="false" customHeight="false" outlineLevel="0" collapsed="false">
      <c r="A138" s="4" t="str">
        <f aca="false">IF('📋 Trade Log'!B136&lt;&gt;"",'📋 Trade Log'!A136,"")</f>
        <v/>
      </c>
      <c r="B138" s="5" t="str">
        <f aca="false">IF('📋 Trade Log'!B136&lt;&gt;"",'📋 Trade Log'!B136,"")</f>
        <v/>
      </c>
      <c r="C138" s="7" t="str">
        <f aca="false">IF('📋 Trade Log'!L136&lt;&gt;"",'📋 Trade Log'!L136,"")</f>
        <v/>
      </c>
      <c r="D138" s="7" t="str">
        <f aca="false">IF(A138&lt;&gt;"",SUM($C$6:C138),"")</f>
        <v/>
      </c>
      <c r="E138" s="7" t="str">
        <f aca="false">IF(A138&lt;&gt;"",B$3+D138,"")</f>
        <v/>
      </c>
      <c r="F138" s="7" t="str">
        <f aca="false">IF(A138&lt;&gt;"",MIN(0,E138-MAX($E$6:E138)),"")</f>
        <v/>
      </c>
      <c r="G138" s="35" t="str">
        <f aca="false">IF(A138&lt;&gt;"",IFERROR(F138/MAX($E$6:E138),0),"")</f>
        <v/>
      </c>
    </row>
    <row r="139" customFormat="false" ht="15" hidden="false" customHeight="false" outlineLevel="0" collapsed="false">
      <c r="A139" s="9" t="str">
        <f aca="false">IF('📋 Trade Log'!B137&lt;&gt;"",'📋 Trade Log'!A137,"")</f>
        <v/>
      </c>
      <c r="B139" s="10" t="str">
        <f aca="false">IF('📋 Trade Log'!B137&lt;&gt;"",'📋 Trade Log'!B137,"")</f>
        <v/>
      </c>
      <c r="C139" s="12" t="str">
        <f aca="false">IF('📋 Trade Log'!L137&lt;&gt;"",'📋 Trade Log'!L137,"")</f>
        <v/>
      </c>
      <c r="D139" s="12" t="str">
        <f aca="false">IF(A139&lt;&gt;"",SUM($C$6:C139),"")</f>
        <v/>
      </c>
      <c r="E139" s="12" t="str">
        <f aca="false">IF(A139&lt;&gt;"",B$3+D139,"")</f>
        <v/>
      </c>
      <c r="F139" s="12" t="str">
        <f aca="false">IF(A139&lt;&gt;"",MIN(0,E139-MAX($E$6:E139)),"")</f>
        <v/>
      </c>
      <c r="G139" s="36" t="str">
        <f aca="false">IF(A139&lt;&gt;"",IFERROR(F139/MAX($E$6:E139),0),"")</f>
        <v/>
      </c>
    </row>
    <row r="140" customFormat="false" ht="15" hidden="false" customHeight="false" outlineLevel="0" collapsed="false">
      <c r="A140" s="4" t="str">
        <f aca="false">IF('📋 Trade Log'!B138&lt;&gt;"",'📋 Trade Log'!A138,"")</f>
        <v/>
      </c>
      <c r="B140" s="5" t="str">
        <f aca="false">IF('📋 Trade Log'!B138&lt;&gt;"",'📋 Trade Log'!B138,"")</f>
        <v/>
      </c>
      <c r="C140" s="7" t="str">
        <f aca="false">IF('📋 Trade Log'!L138&lt;&gt;"",'📋 Trade Log'!L138,"")</f>
        <v/>
      </c>
      <c r="D140" s="7" t="str">
        <f aca="false">IF(A140&lt;&gt;"",SUM($C$6:C140),"")</f>
        <v/>
      </c>
      <c r="E140" s="7" t="str">
        <f aca="false">IF(A140&lt;&gt;"",B$3+D140,"")</f>
        <v/>
      </c>
      <c r="F140" s="7" t="str">
        <f aca="false">IF(A140&lt;&gt;"",MIN(0,E140-MAX($E$6:E140)),"")</f>
        <v/>
      </c>
      <c r="G140" s="35" t="str">
        <f aca="false">IF(A140&lt;&gt;"",IFERROR(F140/MAX($E$6:E140),0),"")</f>
        <v/>
      </c>
    </row>
    <row r="141" customFormat="false" ht="15" hidden="false" customHeight="false" outlineLevel="0" collapsed="false">
      <c r="A141" s="9" t="str">
        <f aca="false">IF('📋 Trade Log'!B139&lt;&gt;"",'📋 Trade Log'!A139,"")</f>
        <v/>
      </c>
      <c r="B141" s="10" t="str">
        <f aca="false">IF('📋 Trade Log'!B139&lt;&gt;"",'📋 Trade Log'!B139,"")</f>
        <v/>
      </c>
      <c r="C141" s="12" t="str">
        <f aca="false">IF('📋 Trade Log'!L139&lt;&gt;"",'📋 Trade Log'!L139,"")</f>
        <v/>
      </c>
      <c r="D141" s="12" t="str">
        <f aca="false">IF(A141&lt;&gt;"",SUM($C$6:C141),"")</f>
        <v/>
      </c>
      <c r="E141" s="12" t="str">
        <f aca="false">IF(A141&lt;&gt;"",B$3+D141,"")</f>
        <v/>
      </c>
      <c r="F141" s="12" t="str">
        <f aca="false">IF(A141&lt;&gt;"",MIN(0,E141-MAX($E$6:E141)),"")</f>
        <v/>
      </c>
      <c r="G141" s="36" t="str">
        <f aca="false">IF(A141&lt;&gt;"",IFERROR(F141/MAX($E$6:E141),0),"")</f>
        <v/>
      </c>
    </row>
    <row r="142" customFormat="false" ht="15" hidden="false" customHeight="false" outlineLevel="0" collapsed="false">
      <c r="A142" s="4" t="str">
        <f aca="false">IF('📋 Trade Log'!B140&lt;&gt;"",'📋 Trade Log'!A140,"")</f>
        <v/>
      </c>
      <c r="B142" s="5" t="str">
        <f aca="false">IF('📋 Trade Log'!B140&lt;&gt;"",'📋 Trade Log'!B140,"")</f>
        <v/>
      </c>
      <c r="C142" s="7" t="str">
        <f aca="false">IF('📋 Trade Log'!L140&lt;&gt;"",'📋 Trade Log'!L140,"")</f>
        <v/>
      </c>
      <c r="D142" s="7" t="str">
        <f aca="false">IF(A142&lt;&gt;"",SUM($C$6:C142),"")</f>
        <v/>
      </c>
      <c r="E142" s="7" t="str">
        <f aca="false">IF(A142&lt;&gt;"",B$3+D142,"")</f>
        <v/>
      </c>
      <c r="F142" s="7" t="str">
        <f aca="false">IF(A142&lt;&gt;"",MIN(0,E142-MAX($E$6:E142)),"")</f>
        <v/>
      </c>
      <c r="G142" s="35" t="str">
        <f aca="false">IF(A142&lt;&gt;"",IFERROR(F142/MAX($E$6:E142),0),"")</f>
        <v/>
      </c>
    </row>
    <row r="143" customFormat="false" ht="15" hidden="false" customHeight="false" outlineLevel="0" collapsed="false">
      <c r="A143" s="9" t="str">
        <f aca="false">IF('📋 Trade Log'!B141&lt;&gt;"",'📋 Trade Log'!A141,"")</f>
        <v/>
      </c>
      <c r="B143" s="10" t="str">
        <f aca="false">IF('📋 Trade Log'!B141&lt;&gt;"",'📋 Trade Log'!B141,"")</f>
        <v/>
      </c>
      <c r="C143" s="12" t="str">
        <f aca="false">IF('📋 Trade Log'!L141&lt;&gt;"",'📋 Trade Log'!L141,"")</f>
        <v/>
      </c>
      <c r="D143" s="12" t="str">
        <f aca="false">IF(A143&lt;&gt;"",SUM($C$6:C143),"")</f>
        <v/>
      </c>
      <c r="E143" s="12" t="str">
        <f aca="false">IF(A143&lt;&gt;"",B$3+D143,"")</f>
        <v/>
      </c>
      <c r="F143" s="12" t="str">
        <f aca="false">IF(A143&lt;&gt;"",MIN(0,E143-MAX($E$6:E143)),"")</f>
        <v/>
      </c>
      <c r="G143" s="36" t="str">
        <f aca="false">IF(A143&lt;&gt;"",IFERROR(F143/MAX($E$6:E143),0),"")</f>
        <v/>
      </c>
    </row>
    <row r="144" customFormat="false" ht="15" hidden="false" customHeight="false" outlineLevel="0" collapsed="false">
      <c r="A144" s="4" t="str">
        <f aca="false">IF('📋 Trade Log'!B142&lt;&gt;"",'📋 Trade Log'!A142,"")</f>
        <v/>
      </c>
      <c r="B144" s="5" t="str">
        <f aca="false">IF('📋 Trade Log'!B142&lt;&gt;"",'📋 Trade Log'!B142,"")</f>
        <v/>
      </c>
      <c r="C144" s="7" t="str">
        <f aca="false">IF('📋 Trade Log'!L142&lt;&gt;"",'📋 Trade Log'!L142,"")</f>
        <v/>
      </c>
      <c r="D144" s="7" t="str">
        <f aca="false">IF(A144&lt;&gt;"",SUM($C$6:C144),"")</f>
        <v/>
      </c>
      <c r="E144" s="7" t="str">
        <f aca="false">IF(A144&lt;&gt;"",B$3+D144,"")</f>
        <v/>
      </c>
      <c r="F144" s="7" t="str">
        <f aca="false">IF(A144&lt;&gt;"",MIN(0,E144-MAX($E$6:E144)),"")</f>
        <v/>
      </c>
      <c r="G144" s="35" t="str">
        <f aca="false">IF(A144&lt;&gt;"",IFERROR(F144/MAX($E$6:E144),0),"")</f>
        <v/>
      </c>
    </row>
    <row r="145" customFormat="false" ht="15" hidden="false" customHeight="false" outlineLevel="0" collapsed="false">
      <c r="A145" s="9" t="str">
        <f aca="false">IF('📋 Trade Log'!B143&lt;&gt;"",'📋 Trade Log'!A143,"")</f>
        <v/>
      </c>
      <c r="B145" s="10" t="str">
        <f aca="false">IF('📋 Trade Log'!B143&lt;&gt;"",'📋 Trade Log'!B143,"")</f>
        <v/>
      </c>
      <c r="C145" s="12" t="str">
        <f aca="false">IF('📋 Trade Log'!L143&lt;&gt;"",'📋 Trade Log'!L143,"")</f>
        <v/>
      </c>
      <c r="D145" s="12" t="str">
        <f aca="false">IF(A145&lt;&gt;"",SUM($C$6:C145),"")</f>
        <v/>
      </c>
      <c r="E145" s="12" t="str">
        <f aca="false">IF(A145&lt;&gt;"",B$3+D145,"")</f>
        <v/>
      </c>
      <c r="F145" s="12" t="str">
        <f aca="false">IF(A145&lt;&gt;"",MIN(0,E145-MAX($E$6:E145)),"")</f>
        <v/>
      </c>
      <c r="G145" s="36" t="str">
        <f aca="false">IF(A145&lt;&gt;"",IFERROR(F145/MAX($E$6:E145),0),"")</f>
        <v/>
      </c>
    </row>
    <row r="146" customFormat="false" ht="15" hidden="false" customHeight="false" outlineLevel="0" collapsed="false">
      <c r="A146" s="4" t="str">
        <f aca="false">IF('📋 Trade Log'!B144&lt;&gt;"",'📋 Trade Log'!A144,"")</f>
        <v/>
      </c>
      <c r="B146" s="5" t="str">
        <f aca="false">IF('📋 Trade Log'!B144&lt;&gt;"",'📋 Trade Log'!B144,"")</f>
        <v/>
      </c>
      <c r="C146" s="7" t="str">
        <f aca="false">IF('📋 Trade Log'!L144&lt;&gt;"",'📋 Trade Log'!L144,"")</f>
        <v/>
      </c>
      <c r="D146" s="7" t="str">
        <f aca="false">IF(A146&lt;&gt;"",SUM($C$6:C146),"")</f>
        <v/>
      </c>
      <c r="E146" s="7" t="str">
        <f aca="false">IF(A146&lt;&gt;"",B$3+D146,"")</f>
        <v/>
      </c>
      <c r="F146" s="7" t="str">
        <f aca="false">IF(A146&lt;&gt;"",MIN(0,E146-MAX($E$6:E146)),"")</f>
        <v/>
      </c>
      <c r="G146" s="35" t="str">
        <f aca="false">IF(A146&lt;&gt;"",IFERROR(F146/MAX($E$6:E146),0),"")</f>
        <v/>
      </c>
    </row>
    <row r="147" customFormat="false" ht="15" hidden="false" customHeight="false" outlineLevel="0" collapsed="false">
      <c r="A147" s="9" t="str">
        <f aca="false">IF('📋 Trade Log'!B145&lt;&gt;"",'📋 Trade Log'!A145,"")</f>
        <v/>
      </c>
      <c r="B147" s="10" t="str">
        <f aca="false">IF('📋 Trade Log'!B145&lt;&gt;"",'📋 Trade Log'!B145,"")</f>
        <v/>
      </c>
      <c r="C147" s="12" t="str">
        <f aca="false">IF('📋 Trade Log'!L145&lt;&gt;"",'📋 Trade Log'!L145,"")</f>
        <v/>
      </c>
      <c r="D147" s="12" t="str">
        <f aca="false">IF(A147&lt;&gt;"",SUM($C$6:C147),"")</f>
        <v/>
      </c>
      <c r="E147" s="12" t="str">
        <f aca="false">IF(A147&lt;&gt;"",B$3+D147,"")</f>
        <v/>
      </c>
      <c r="F147" s="12" t="str">
        <f aca="false">IF(A147&lt;&gt;"",MIN(0,E147-MAX($E$6:E147)),"")</f>
        <v/>
      </c>
      <c r="G147" s="36" t="str">
        <f aca="false">IF(A147&lt;&gt;"",IFERROR(F147/MAX($E$6:E147),0),"")</f>
        <v/>
      </c>
    </row>
    <row r="148" customFormat="false" ht="15" hidden="false" customHeight="false" outlineLevel="0" collapsed="false">
      <c r="A148" s="4" t="str">
        <f aca="false">IF('📋 Trade Log'!B146&lt;&gt;"",'📋 Trade Log'!A146,"")</f>
        <v/>
      </c>
      <c r="B148" s="5" t="str">
        <f aca="false">IF('📋 Trade Log'!B146&lt;&gt;"",'📋 Trade Log'!B146,"")</f>
        <v/>
      </c>
      <c r="C148" s="7" t="str">
        <f aca="false">IF('📋 Trade Log'!L146&lt;&gt;"",'📋 Trade Log'!L146,"")</f>
        <v/>
      </c>
      <c r="D148" s="7" t="str">
        <f aca="false">IF(A148&lt;&gt;"",SUM($C$6:C148),"")</f>
        <v/>
      </c>
      <c r="E148" s="7" t="str">
        <f aca="false">IF(A148&lt;&gt;"",B$3+D148,"")</f>
        <v/>
      </c>
      <c r="F148" s="7" t="str">
        <f aca="false">IF(A148&lt;&gt;"",MIN(0,E148-MAX($E$6:E148)),"")</f>
        <v/>
      </c>
      <c r="G148" s="35" t="str">
        <f aca="false">IF(A148&lt;&gt;"",IFERROR(F148/MAX($E$6:E148),0),"")</f>
        <v/>
      </c>
    </row>
    <row r="149" customFormat="false" ht="15" hidden="false" customHeight="false" outlineLevel="0" collapsed="false">
      <c r="A149" s="9" t="str">
        <f aca="false">IF('📋 Trade Log'!B147&lt;&gt;"",'📋 Trade Log'!A147,"")</f>
        <v/>
      </c>
      <c r="B149" s="10" t="str">
        <f aca="false">IF('📋 Trade Log'!B147&lt;&gt;"",'📋 Trade Log'!B147,"")</f>
        <v/>
      </c>
      <c r="C149" s="12" t="str">
        <f aca="false">IF('📋 Trade Log'!L147&lt;&gt;"",'📋 Trade Log'!L147,"")</f>
        <v/>
      </c>
      <c r="D149" s="12" t="str">
        <f aca="false">IF(A149&lt;&gt;"",SUM($C$6:C149),"")</f>
        <v/>
      </c>
      <c r="E149" s="12" t="str">
        <f aca="false">IF(A149&lt;&gt;"",B$3+D149,"")</f>
        <v/>
      </c>
      <c r="F149" s="12" t="str">
        <f aca="false">IF(A149&lt;&gt;"",MIN(0,E149-MAX($E$6:E149)),"")</f>
        <v/>
      </c>
      <c r="G149" s="36" t="str">
        <f aca="false">IF(A149&lt;&gt;"",IFERROR(F149/MAX($E$6:E149),0),"")</f>
        <v/>
      </c>
    </row>
    <row r="150" customFormat="false" ht="15" hidden="false" customHeight="false" outlineLevel="0" collapsed="false">
      <c r="A150" s="4" t="str">
        <f aca="false">IF('📋 Trade Log'!B148&lt;&gt;"",'📋 Trade Log'!A148,"")</f>
        <v/>
      </c>
      <c r="B150" s="5" t="str">
        <f aca="false">IF('📋 Trade Log'!B148&lt;&gt;"",'📋 Trade Log'!B148,"")</f>
        <v/>
      </c>
      <c r="C150" s="7" t="str">
        <f aca="false">IF('📋 Trade Log'!L148&lt;&gt;"",'📋 Trade Log'!L148,"")</f>
        <v/>
      </c>
      <c r="D150" s="7" t="str">
        <f aca="false">IF(A150&lt;&gt;"",SUM($C$6:C150),"")</f>
        <v/>
      </c>
      <c r="E150" s="7" t="str">
        <f aca="false">IF(A150&lt;&gt;"",B$3+D150,"")</f>
        <v/>
      </c>
      <c r="F150" s="7" t="str">
        <f aca="false">IF(A150&lt;&gt;"",MIN(0,E150-MAX($E$6:E150)),"")</f>
        <v/>
      </c>
      <c r="G150" s="35" t="str">
        <f aca="false">IF(A150&lt;&gt;"",IFERROR(F150/MAX($E$6:E150),0),"")</f>
        <v/>
      </c>
    </row>
    <row r="151" customFormat="false" ht="15" hidden="false" customHeight="false" outlineLevel="0" collapsed="false">
      <c r="A151" s="9" t="str">
        <f aca="false">IF('📋 Trade Log'!B149&lt;&gt;"",'📋 Trade Log'!A149,"")</f>
        <v/>
      </c>
      <c r="B151" s="10" t="str">
        <f aca="false">IF('📋 Trade Log'!B149&lt;&gt;"",'📋 Trade Log'!B149,"")</f>
        <v/>
      </c>
      <c r="C151" s="12" t="str">
        <f aca="false">IF('📋 Trade Log'!L149&lt;&gt;"",'📋 Trade Log'!L149,"")</f>
        <v/>
      </c>
      <c r="D151" s="12" t="str">
        <f aca="false">IF(A151&lt;&gt;"",SUM($C$6:C151),"")</f>
        <v/>
      </c>
      <c r="E151" s="12" t="str">
        <f aca="false">IF(A151&lt;&gt;"",B$3+D151,"")</f>
        <v/>
      </c>
      <c r="F151" s="12" t="str">
        <f aca="false">IF(A151&lt;&gt;"",MIN(0,E151-MAX($E$6:E151)),"")</f>
        <v/>
      </c>
      <c r="G151" s="36" t="str">
        <f aca="false">IF(A151&lt;&gt;"",IFERROR(F151/MAX($E$6:E151),0),"")</f>
        <v/>
      </c>
    </row>
    <row r="152" customFormat="false" ht="15" hidden="false" customHeight="false" outlineLevel="0" collapsed="false">
      <c r="A152" s="4" t="str">
        <f aca="false">IF('📋 Trade Log'!B150&lt;&gt;"",'📋 Trade Log'!A150,"")</f>
        <v/>
      </c>
      <c r="B152" s="5" t="str">
        <f aca="false">IF('📋 Trade Log'!B150&lt;&gt;"",'📋 Trade Log'!B150,"")</f>
        <v/>
      </c>
      <c r="C152" s="7" t="str">
        <f aca="false">IF('📋 Trade Log'!L150&lt;&gt;"",'📋 Trade Log'!L150,"")</f>
        <v/>
      </c>
      <c r="D152" s="7" t="str">
        <f aca="false">IF(A152&lt;&gt;"",SUM($C$6:C152),"")</f>
        <v/>
      </c>
      <c r="E152" s="7" t="str">
        <f aca="false">IF(A152&lt;&gt;"",B$3+D152,"")</f>
        <v/>
      </c>
      <c r="F152" s="7" t="str">
        <f aca="false">IF(A152&lt;&gt;"",MIN(0,E152-MAX($E$6:E152)),"")</f>
        <v/>
      </c>
      <c r="G152" s="35" t="str">
        <f aca="false">IF(A152&lt;&gt;"",IFERROR(F152/MAX($E$6:E152),0),"")</f>
        <v/>
      </c>
    </row>
    <row r="153" customFormat="false" ht="15" hidden="false" customHeight="false" outlineLevel="0" collapsed="false">
      <c r="A153" s="9" t="str">
        <f aca="false">IF('📋 Trade Log'!B151&lt;&gt;"",'📋 Trade Log'!A151,"")</f>
        <v/>
      </c>
      <c r="B153" s="10" t="str">
        <f aca="false">IF('📋 Trade Log'!B151&lt;&gt;"",'📋 Trade Log'!B151,"")</f>
        <v/>
      </c>
      <c r="C153" s="12" t="str">
        <f aca="false">IF('📋 Trade Log'!L151&lt;&gt;"",'📋 Trade Log'!L151,"")</f>
        <v/>
      </c>
      <c r="D153" s="12" t="str">
        <f aca="false">IF(A153&lt;&gt;"",SUM($C$6:C153),"")</f>
        <v/>
      </c>
      <c r="E153" s="12" t="str">
        <f aca="false">IF(A153&lt;&gt;"",B$3+D153,"")</f>
        <v/>
      </c>
      <c r="F153" s="12" t="str">
        <f aca="false">IF(A153&lt;&gt;"",MIN(0,E153-MAX($E$6:E153)),"")</f>
        <v/>
      </c>
      <c r="G153" s="36" t="str">
        <f aca="false">IF(A153&lt;&gt;"",IFERROR(F153/MAX($E$6:E153),0),"")</f>
        <v/>
      </c>
    </row>
    <row r="154" customFormat="false" ht="15" hidden="false" customHeight="false" outlineLevel="0" collapsed="false">
      <c r="A154" s="4" t="str">
        <f aca="false">IF('📋 Trade Log'!B152&lt;&gt;"",'📋 Trade Log'!A152,"")</f>
        <v/>
      </c>
      <c r="B154" s="5" t="str">
        <f aca="false">IF('📋 Trade Log'!B152&lt;&gt;"",'📋 Trade Log'!B152,"")</f>
        <v/>
      </c>
      <c r="C154" s="7" t="str">
        <f aca="false">IF('📋 Trade Log'!L152&lt;&gt;"",'📋 Trade Log'!L152,"")</f>
        <v/>
      </c>
      <c r="D154" s="7" t="str">
        <f aca="false">IF(A154&lt;&gt;"",SUM($C$6:C154),"")</f>
        <v/>
      </c>
      <c r="E154" s="7" t="str">
        <f aca="false">IF(A154&lt;&gt;"",B$3+D154,"")</f>
        <v/>
      </c>
      <c r="F154" s="7" t="str">
        <f aca="false">IF(A154&lt;&gt;"",MIN(0,E154-MAX($E$6:E154)),"")</f>
        <v/>
      </c>
      <c r="G154" s="35" t="str">
        <f aca="false">IF(A154&lt;&gt;"",IFERROR(F154/MAX($E$6:E154),0),"")</f>
        <v/>
      </c>
    </row>
    <row r="155" customFormat="false" ht="15" hidden="false" customHeight="false" outlineLevel="0" collapsed="false">
      <c r="A155" s="9" t="str">
        <f aca="false">IF('📋 Trade Log'!B153&lt;&gt;"",'📋 Trade Log'!A153,"")</f>
        <v/>
      </c>
      <c r="B155" s="10" t="str">
        <f aca="false">IF('📋 Trade Log'!B153&lt;&gt;"",'📋 Trade Log'!B153,"")</f>
        <v/>
      </c>
      <c r="C155" s="12" t="str">
        <f aca="false">IF('📋 Trade Log'!L153&lt;&gt;"",'📋 Trade Log'!L153,"")</f>
        <v/>
      </c>
      <c r="D155" s="12" t="str">
        <f aca="false">IF(A155&lt;&gt;"",SUM($C$6:C155),"")</f>
        <v/>
      </c>
      <c r="E155" s="12" t="str">
        <f aca="false">IF(A155&lt;&gt;"",B$3+D155,"")</f>
        <v/>
      </c>
      <c r="F155" s="12" t="str">
        <f aca="false">IF(A155&lt;&gt;"",MIN(0,E155-MAX($E$6:E155)),"")</f>
        <v/>
      </c>
      <c r="G155" s="36" t="str">
        <f aca="false">IF(A155&lt;&gt;"",IFERROR(F155/MAX($E$6:E155),0),"")</f>
        <v/>
      </c>
    </row>
    <row r="156" customFormat="false" ht="15" hidden="false" customHeight="false" outlineLevel="0" collapsed="false">
      <c r="A156" s="4" t="str">
        <f aca="false">IF('📋 Trade Log'!B154&lt;&gt;"",'📋 Trade Log'!A154,"")</f>
        <v/>
      </c>
      <c r="B156" s="5" t="str">
        <f aca="false">IF('📋 Trade Log'!B154&lt;&gt;"",'📋 Trade Log'!B154,"")</f>
        <v/>
      </c>
      <c r="C156" s="7" t="str">
        <f aca="false">IF('📋 Trade Log'!L154&lt;&gt;"",'📋 Trade Log'!L154,"")</f>
        <v/>
      </c>
      <c r="D156" s="7" t="str">
        <f aca="false">IF(A156&lt;&gt;"",SUM($C$6:C156),"")</f>
        <v/>
      </c>
      <c r="E156" s="7" t="str">
        <f aca="false">IF(A156&lt;&gt;"",B$3+D156,"")</f>
        <v/>
      </c>
      <c r="F156" s="7" t="str">
        <f aca="false">IF(A156&lt;&gt;"",MIN(0,E156-MAX($E$6:E156)),"")</f>
        <v/>
      </c>
      <c r="G156" s="35" t="str">
        <f aca="false">IF(A156&lt;&gt;"",IFERROR(F156/MAX($E$6:E156),0),"")</f>
        <v/>
      </c>
    </row>
    <row r="157" customFormat="false" ht="15" hidden="false" customHeight="false" outlineLevel="0" collapsed="false">
      <c r="A157" s="9" t="str">
        <f aca="false">IF('📋 Trade Log'!B155&lt;&gt;"",'📋 Trade Log'!A155,"")</f>
        <v/>
      </c>
      <c r="B157" s="10" t="str">
        <f aca="false">IF('📋 Trade Log'!B155&lt;&gt;"",'📋 Trade Log'!B155,"")</f>
        <v/>
      </c>
      <c r="C157" s="12" t="str">
        <f aca="false">IF('📋 Trade Log'!L155&lt;&gt;"",'📋 Trade Log'!L155,"")</f>
        <v/>
      </c>
      <c r="D157" s="12" t="str">
        <f aca="false">IF(A157&lt;&gt;"",SUM($C$6:C157),"")</f>
        <v/>
      </c>
      <c r="E157" s="12" t="str">
        <f aca="false">IF(A157&lt;&gt;"",B$3+D157,"")</f>
        <v/>
      </c>
      <c r="F157" s="12" t="str">
        <f aca="false">IF(A157&lt;&gt;"",MIN(0,E157-MAX($E$6:E157)),"")</f>
        <v/>
      </c>
      <c r="G157" s="36" t="str">
        <f aca="false">IF(A157&lt;&gt;"",IFERROR(F157/MAX($E$6:E157),0),"")</f>
        <v/>
      </c>
    </row>
    <row r="158" customFormat="false" ht="15" hidden="false" customHeight="false" outlineLevel="0" collapsed="false">
      <c r="A158" s="4" t="str">
        <f aca="false">IF('📋 Trade Log'!B156&lt;&gt;"",'📋 Trade Log'!A156,"")</f>
        <v/>
      </c>
      <c r="B158" s="5" t="str">
        <f aca="false">IF('📋 Trade Log'!B156&lt;&gt;"",'📋 Trade Log'!B156,"")</f>
        <v/>
      </c>
      <c r="C158" s="7" t="str">
        <f aca="false">IF('📋 Trade Log'!L156&lt;&gt;"",'📋 Trade Log'!L156,"")</f>
        <v/>
      </c>
      <c r="D158" s="7" t="str">
        <f aca="false">IF(A158&lt;&gt;"",SUM($C$6:C158),"")</f>
        <v/>
      </c>
      <c r="E158" s="7" t="str">
        <f aca="false">IF(A158&lt;&gt;"",B$3+D158,"")</f>
        <v/>
      </c>
      <c r="F158" s="7" t="str">
        <f aca="false">IF(A158&lt;&gt;"",MIN(0,E158-MAX($E$6:E158)),"")</f>
        <v/>
      </c>
      <c r="G158" s="35" t="str">
        <f aca="false">IF(A158&lt;&gt;"",IFERROR(F158/MAX($E$6:E158),0),"")</f>
        <v/>
      </c>
    </row>
    <row r="159" customFormat="false" ht="15" hidden="false" customHeight="false" outlineLevel="0" collapsed="false">
      <c r="A159" s="9" t="str">
        <f aca="false">IF('📋 Trade Log'!B157&lt;&gt;"",'📋 Trade Log'!A157,"")</f>
        <v/>
      </c>
      <c r="B159" s="10" t="str">
        <f aca="false">IF('📋 Trade Log'!B157&lt;&gt;"",'📋 Trade Log'!B157,"")</f>
        <v/>
      </c>
      <c r="C159" s="12" t="str">
        <f aca="false">IF('📋 Trade Log'!L157&lt;&gt;"",'📋 Trade Log'!L157,"")</f>
        <v/>
      </c>
      <c r="D159" s="12" t="str">
        <f aca="false">IF(A159&lt;&gt;"",SUM($C$6:C159),"")</f>
        <v/>
      </c>
      <c r="E159" s="12" t="str">
        <f aca="false">IF(A159&lt;&gt;"",B$3+D159,"")</f>
        <v/>
      </c>
      <c r="F159" s="12" t="str">
        <f aca="false">IF(A159&lt;&gt;"",MIN(0,E159-MAX($E$6:E159)),"")</f>
        <v/>
      </c>
      <c r="G159" s="36" t="str">
        <f aca="false">IF(A159&lt;&gt;"",IFERROR(F159/MAX($E$6:E159),0),"")</f>
        <v/>
      </c>
    </row>
    <row r="160" customFormat="false" ht="15" hidden="false" customHeight="false" outlineLevel="0" collapsed="false">
      <c r="A160" s="4" t="str">
        <f aca="false">IF('📋 Trade Log'!B158&lt;&gt;"",'📋 Trade Log'!A158,"")</f>
        <v/>
      </c>
      <c r="B160" s="5" t="str">
        <f aca="false">IF('📋 Trade Log'!B158&lt;&gt;"",'📋 Trade Log'!B158,"")</f>
        <v/>
      </c>
      <c r="C160" s="7" t="str">
        <f aca="false">IF('📋 Trade Log'!L158&lt;&gt;"",'📋 Trade Log'!L158,"")</f>
        <v/>
      </c>
      <c r="D160" s="7" t="str">
        <f aca="false">IF(A160&lt;&gt;"",SUM($C$6:C160),"")</f>
        <v/>
      </c>
      <c r="E160" s="7" t="str">
        <f aca="false">IF(A160&lt;&gt;"",B$3+D160,"")</f>
        <v/>
      </c>
      <c r="F160" s="7" t="str">
        <f aca="false">IF(A160&lt;&gt;"",MIN(0,E160-MAX($E$6:E160)),"")</f>
        <v/>
      </c>
      <c r="G160" s="35" t="str">
        <f aca="false">IF(A160&lt;&gt;"",IFERROR(F160/MAX($E$6:E160),0),"")</f>
        <v/>
      </c>
    </row>
    <row r="161" customFormat="false" ht="15" hidden="false" customHeight="false" outlineLevel="0" collapsed="false">
      <c r="A161" s="9" t="str">
        <f aca="false">IF('📋 Trade Log'!B159&lt;&gt;"",'📋 Trade Log'!A159,"")</f>
        <v/>
      </c>
      <c r="B161" s="10" t="str">
        <f aca="false">IF('📋 Trade Log'!B159&lt;&gt;"",'📋 Trade Log'!B159,"")</f>
        <v/>
      </c>
      <c r="C161" s="12" t="str">
        <f aca="false">IF('📋 Trade Log'!L159&lt;&gt;"",'📋 Trade Log'!L159,"")</f>
        <v/>
      </c>
      <c r="D161" s="12" t="str">
        <f aca="false">IF(A161&lt;&gt;"",SUM($C$6:C161),"")</f>
        <v/>
      </c>
      <c r="E161" s="12" t="str">
        <f aca="false">IF(A161&lt;&gt;"",B$3+D161,"")</f>
        <v/>
      </c>
      <c r="F161" s="12" t="str">
        <f aca="false">IF(A161&lt;&gt;"",MIN(0,E161-MAX($E$6:E161)),"")</f>
        <v/>
      </c>
      <c r="G161" s="36" t="str">
        <f aca="false">IF(A161&lt;&gt;"",IFERROR(F161/MAX($E$6:E161),0),"")</f>
        <v/>
      </c>
    </row>
    <row r="162" customFormat="false" ht="15" hidden="false" customHeight="false" outlineLevel="0" collapsed="false">
      <c r="A162" s="4" t="str">
        <f aca="false">IF('📋 Trade Log'!B160&lt;&gt;"",'📋 Trade Log'!A160,"")</f>
        <v/>
      </c>
      <c r="B162" s="5" t="str">
        <f aca="false">IF('📋 Trade Log'!B160&lt;&gt;"",'📋 Trade Log'!B160,"")</f>
        <v/>
      </c>
      <c r="C162" s="7" t="str">
        <f aca="false">IF('📋 Trade Log'!L160&lt;&gt;"",'📋 Trade Log'!L160,"")</f>
        <v/>
      </c>
      <c r="D162" s="7" t="str">
        <f aca="false">IF(A162&lt;&gt;"",SUM($C$6:C162),"")</f>
        <v/>
      </c>
      <c r="E162" s="7" t="str">
        <f aca="false">IF(A162&lt;&gt;"",B$3+D162,"")</f>
        <v/>
      </c>
      <c r="F162" s="7" t="str">
        <f aca="false">IF(A162&lt;&gt;"",MIN(0,E162-MAX($E$6:E162)),"")</f>
        <v/>
      </c>
      <c r="G162" s="35" t="str">
        <f aca="false">IF(A162&lt;&gt;"",IFERROR(F162/MAX($E$6:E162),0),"")</f>
        <v/>
      </c>
    </row>
    <row r="163" customFormat="false" ht="15" hidden="false" customHeight="false" outlineLevel="0" collapsed="false">
      <c r="A163" s="9" t="str">
        <f aca="false">IF('📋 Trade Log'!B161&lt;&gt;"",'📋 Trade Log'!A161,"")</f>
        <v/>
      </c>
      <c r="B163" s="10" t="str">
        <f aca="false">IF('📋 Trade Log'!B161&lt;&gt;"",'📋 Trade Log'!B161,"")</f>
        <v/>
      </c>
      <c r="C163" s="12" t="str">
        <f aca="false">IF('📋 Trade Log'!L161&lt;&gt;"",'📋 Trade Log'!L161,"")</f>
        <v/>
      </c>
      <c r="D163" s="12" t="str">
        <f aca="false">IF(A163&lt;&gt;"",SUM($C$6:C163),"")</f>
        <v/>
      </c>
      <c r="E163" s="12" t="str">
        <f aca="false">IF(A163&lt;&gt;"",B$3+D163,"")</f>
        <v/>
      </c>
      <c r="F163" s="12" t="str">
        <f aca="false">IF(A163&lt;&gt;"",MIN(0,E163-MAX($E$6:E163)),"")</f>
        <v/>
      </c>
      <c r="G163" s="36" t="str">
        <f aca="false">IF(A163&lt;&gt;"",IFERROR(F163/MAX($E$6:E163),0),"")</f>
        <v/>
      </c>
    </row>
    <row r="164" customFormat="false" ht="15" hidden="false" customHeight="false" outlineLevel="0" collapsed="false">
      <c r="A164" s="4" t="str">
        <f aca="false">IF('📋 Trade Log'!B162&lt;&gt;"",'📋 Trade Log'!A162,"")</f>
        <v/>
      </c>
      <c r="B164" s="5" t="str">
        <f aca="false">IF('📋 Trade Log'!B162&lt;&gt;"",'📋 Trade Log'!B162,"")</f>
        <v/>
      </c>
      <c r="C164" s="7" t="str">
        <f aca="false">IF('📋 Trade Log'!L162&lt;&gt;"",'📋 Trade Log'!L162,"")</f>
        <v/>
      </c>
      <c r="D164" s="7" t="str">
        <f aca="false">IF(A164&lt;&gt;"",SUM($C$6:C164),"")</f>
        <v/>
      </c>
      <c r="E164" s="7" t="str">
        <f aca="false">IF(A164&lt;&gt;"",B$3+D164,"")</f>
        <v/>
      </c>
      <c r="F164" s="7" t="str">
        <f aca="false">IF(A164&lt;&gt;"",MIN(0,E164-MAX($E$6:E164)),"")</f>
        <v/>
      </c>
      <c r="G164" s="35" t="str">
        <f aca="false">IF(A164&lt;&gt;"",IFERROR(F164/MAX($E$6:E164),0),"")</f>
        <v/>
      </c>
    </row>
    <row r="165" customFormat="false" ht="15" hidden="false" customHeight="false" outlineLevel="0" collapsed="false">
      <c r="A165" s="9" t="str">
        <f aca="false">IF('📋 Trade Log'!B163&lt;&gt;"",'📋 Trade Log'!A163,"")</f>
        <v/>
      </c>
      <c r="B165" s="10" t="str">
        <f aca="false">IF('📋 Trade Log'!B163&lt;&gt;"",'📋 Trade Log'!B163,"")</f>
        <v/>
      </c>
      <c r="C165" s="12" t="str">
        <f aca="false">IF('📋 Trade Log'!L163&lt;&gt;"",'📋 Trade Log'!L163,"")</f>
        <v/>
      </c>
      <c r="D165" s="12" t="str">
        <f aca="false">IF(A165&lt;&gt;"",SUM($C$6:C165),"")</f>
        <v/>
      </c>
      <c r="E165" s="12" t="str">
        <f aca="false">IF(A165&lt;&gt;"",B$3+D165,"")</f>
        <v/>
      </c>
      <c r="F165" s="12" t="str">
        <f aca="false">IF(A165&lt;&gt;"",MIN(0,E165-MAX($E$6:E165)),"")</f>
        <v/>
      </c>
      <c r="G165" s="36" t="str">
        <f aca="false">IF(A165&lt;&gt;"",IFERROR(F165/MAX($E$6:E165),0),"")</f>
        <v/>
      </c>
    </row>
    <row r="166" customFormat="false" ht="15" hidden="false" customHeight="false" outlineLevel="0" collapsed="false">
      <c r="A166" s="4" t="str">
        <f aca="false">IF('📋 Trade Log'!B164&lt;&gt;"",'📋 Trade Log'!A164,"")</f>
        <v/>
      </c>
      <c r="B166" s="5" t="str">
        <f aca="false">IF('📋 Trade Log'!B164&lt;&gt;"",'📋 Trade Log'!B164,"")</f>
        <v/>
      </c>
      <c r="C166" s="7" t="str">
        <f aca="false">IF('📋 Trade Log'!L164&lt;&gt;"",'📋 Trade Log'!L164,"")</f>
        <v/>
      </c>
      <c r="D166" s="7" t="str">
        <f aca="false">IF(A166&lt;&gt;"",SUM($C$6:C166),"")</f>
        <v/>
      </c>
      <c r="E166" s="7" t="str">
        <f aca="false">IF(A166&lt;&gt;"",B$3+D166,"")</f>
        <v/>
      </c>
      <c r="F166" s="7" t="str">
        <f aca="false">IF(A166&lt;&gt;"",MIN(0,E166-MAX($E$6:E166)),"")</f>
        <v/>
      </c>
      <c r="G166" s="35" t="str">
        <f aca="false">IF(A166&lt;&gt;"",IFERROR(F166/MAX($E$6:E166),0),"")</f>
        <v/>
      </c>
    </row>
    <row r="167" customFormat="false" ht="15" hidden="false" customHeight="false" outlineLevel="0" collapsed="false">
      <c r="A167" s="9" t="str">
        <f aca="false">IF('📋 Trade Log'!B165&lt;&gt;"",'📋 Trade Log'!A165,"")</f>
        <v/>
      </c>
      <c r="B167" s="10" t="str">
        <f aca="false">IF('📋 Trade Log'!B165&lt;&gt;"",'📋 Trade Log'!B165,"")</f>
        <v/>
      </c>
      <c r="C167" s="12" t="str">
        <f aca="false">IF('📋 Trade Log'!L165&lt;&gt;"",'📋 Trade Log'!L165,"")</f>
        <v/>
      </c>
      <c r="D167" s="12" t="str">
        <f aca="false">IF(A167&lt;&gt;"",SUM($C$6:C167),"")</f>
        <v/>
      </c>
      <c r="E167" s="12" t="str">
        <f aca="false">IF(A167&lt;&gt;"",B$3+D167,"")</f>
        <v/>
      </c>
      <c r="F167" s="12" t="str">
        <f aca="false">IF(A167&lt;&gt;"",MIN(0,E167-MAX($E$6:E167)),"")</f>
        <v/>
      </c>
      <c r="G167" s="36" t="str">
        <f aca="false">IF(A167&lt;&gt;"",IFERROR(F167/MAX($E$6:E167),0),"")</f>
        <v/>
      </c>
    </row>
    <row r="168" customFormat="false" ht="15" hidden="false" customHeight="false" outlineLevel="0" collapsed="false">
      <c r="A168" s="4" t="str">
        <f aca="false">IF('📋 Trade Log'!B166&lt;&gt;"",'📋 Trade Log'!A166,"")</f>
        <v/>
      </c>
      <c r="B168" s="5" t="str">
        <f aca="false">IF('📋 Trade Log'!B166&lt;&gt;"",'📋 Trade Log'!B166,"")</f>
        <v/>
      </c>
      <c r="C168" s="7" t="str">
        <f aca="false">IF('📋 Trade Log'!L166&lt;&gt;"",'📋 Trade Log'!L166,"")</f>
        <v/>
      </c>
      <c r="D168" s="7" t="str">
        <f aca="false">IF(A168&lt;&gt;"",SUM($C$6:C168),"")</f>
        <v/>
      </c>
      <c r="E168" s="7" t="str">
        <f aca="false">IF(A168&lt;&gt;"",B$3+D168,"")</f>
        <v/>
      </c>
      <c r="F168" s="7" t="str">
        <f aca="false">IF(A168&lt;&gt;"",MIN(0,E168-MAX($E$6:E168)),"")</f>
        <v/>
      </c>
      <c r="G168" s="35" t="str">
        <f aca="false">IF(A168&lt;&gt;"",IFERROR(F168/MAX($E$6:E168),0),"")</f>
        <v/>
      </c>
    </row>
    <row r="169" customFormat="false" ht="15" hidden="false" customHeight="false" outlineLevel="0" collapsed="false">
      <c r="A169" s="9" t="str">
        <f aca="false">IF('📋 Trade Log'!B167&lt;&gt;"",'📋 Trade Log'!A167,"")</f>
        <v/>
      </c>
      <c r="B169" s="10" t="str">
        <f aca="false">IF('📋 Trade Log'!B167&lt;&gt;"",'📋 Trade Log'!B167,"")</f>
        <v/>
      </c>
      <c r="C169" s="12" t="str">
        <f aca="false">IF('📋 Trade Log'!L167&lt;&gt;"",'📋 Trade Log'!L167,"")</f>
        <v/>
      </c>
      <c r="D169" s="12" t="str">
        <f aca="false">IF(A169&lt;&gt;"",SUM($C$6:C169),"")</f>
        <v/>
      </c>
      <c r="E169" s="12" t="str">
        <f aca="false">IF(A169&lt;&gt;"",B$3+D169,"")</f>
        <v/>
      </c>
      <c r="F169" s="12" t="str">
        <f aca="false">IF(A169&lt;&gt;"",MIN(0,E169-MAX($E$6:E169)),"")</f>
        <v/>
      </c>
      <c r="G169" s="36" t="str">
        <f aca="false">IF(A169&lt;&gt;"",IFERROR(F169/MAX($E$6:E169),0),"")</f>
        <v/>
      </c>
    </row>
    <row r="170" customFormat="false" ht="15" hidden="false" customHeight="false" outlineLevel="0" collapsed="false">
      <c r="A170" s="4" t="str">
        <f aca="false">IF('📋 Trade Log'!B168&lt;&gt;"",'📋 Trade Log'!A168,"")</f>
        <v/>
      </c>
      <c r="B170" s="5" t="str">
        <f aca="false">IF('📋 Trade Log'!B168&lt;&gt;"",'📋 Trade Log'!B168,"")</f>
        <v/>
      </c>
      <c r="C170" s="7" t="str">
        <f aca="false">IF('📋 Trade Log'!L168&lt;&gt;"",'📋 Trade Log'!L168,"")</f>
        <v/>
      </c>
      <c r="D170" s="7" t="str">
        <f aca="false">IF(A170&lt;&gt;"",SUM($C$6:C170),"")</f>
        <v/>
      </c>
      <c r="E170" s="7" t="str">
        <f aca="false">IF(A170&lt;&gt;"",B$3+D170,"")</f>
        <v/>
      </c>
      <c r="F170" s="7" t="str">
        <f aca="false">IF(A170&lt;&gt;"",MIN(0,E170-MAX($E$6:E170)),"")</f>
        <v/>
      </c>
      <c r="G170" s="35" t="str">
        <f aca="false">IF(A170&lt;&gt;"",IFERROR(F170/MAX($E$6:E170),0),"")</f>
        <v/>
      </c>
    </row>
    <row r="171" customFormat="false" ht="15" hidden="false" customHeight="false" outlineLevel="0" collapsed="false">
      <c r="A171" s="9" t="str">
        <f aca="false">IF('📋 Trade Log'!B169&lt;&gt;"",'📋 Trade Log'!A169,"")</f>
        <v/>
      </c>
      <c r="B171" s="10" t="str">
        <f aca="false">IF('📋 Trade Log'!B169&lt;&gt;"",'📋 Trade Log'!B169,"")</f>
        <v/>
      </c>
      <c r="C171" s="12" t="str">
        <f aca="false">IF('📋 Trade Log'!L169&lt;&gt;"",'📋 Trade Log'!L169,"")</f>
        <v/>
      </c>
      <c r="D171" s="12" t="str">
        <f aca="false">IF(A171&lt;&gt;"",SUM($C$6:C171),"")</f>
        <v/>
      </c>
      <c r="E171" s="12" t="str">
        <f aca="false">IF(A171&lt;&gt;"",B$3+D171,"")</f>
        <v/>
      </c>
      <c r="F171" s="12" t="str">
        <f aca="false">IF(A171&lt;&gt;"",MIN(0,E171-MAX($E$6:E171)),"")</f>
        <v/>
      </c>
      <c r="G171" s="36" t="str">
        <f aca="false">IF(A171&lt;&gt;"",IFERROR(F171/MAX($E$6:E171),0),"")</f>
        <v/>
      </c>
    </row>
    <row r="172" customFormat="false" ht="15" hidden="false" customHeight="false" outlineLevel="0" collapsed="false">
      <c r="A172" s="4" t="str">
        <f aca="false">IF('📋 Trade Log'!B170&lt;&gt;"",'📋 Trade Log'!A170,"")</f>
        <v/>
      </c>
      <c r="B172" s="5" t="str">
        <f aca="false">IF('📋 Trade Log'!B170&lt;&gt;"",'📋 Trade Log'!B170,"")</f>
        <v/>
      </c>
      <c r="C172" s="7" t="str">
        <f aca="false">IF('📋 Trade Log'!L170&lt;&gt;"",'📋 Trade Log'!L170,"")</f>
        <v/>
      </c>
      <c r="D172" s="7" t="str">
        <f aca="false">IF(A172&lt;&gt;"",SUM($C$6:C172),"")</f>
        <v/>
      </c>
      <c r="E172" s="7" t="str">
        <f aca="false">IF(A172&lt;&gt;"",B$3+D172,"")</f>
        <v/>
      </c>
      <c r="F172" s="7" t="str">
        <f aca="false">IF(A172&lt;&gt;"",MIN(0,E172-MAX($E$6:E172)),"")</f>
        <v/>
      </c>
      <c r="G172" s="35" t="str">
        <f aca="false">IF(A172&lt;&gt;"",IFERROR(F172/MAX($E$6:E172),0),"")</f>
        <v/>
      </c>
    </row>
    <row r="173" customFormat="false" ht="15" hidden="false" customHeight="false" outlineLevel="0" collapsed="false">
      <c r="A173" s="9" t="str">
        <f aca="false">IF('📋 Trade Log'!B171&lt;&gt;"",'📋 Trade Log'!A171,"")</f>
        <v/>
      </c>
      <c r="B173" s="10" t="str">
        <f aca="false">IF('📋 Trade Log'!B171&lt;&gt;"",'📋 Trade Log'!B171,"")</f>
        <v/>
      </c>
      <c r="C173" s="12" t="str">
        <f aca="false">IF('📋 Trade Log'!L171&lt;&gt;"",'📋 Trade Log'!L171,"")</f>
        <v/>
      </c>
      <c r="D173" s="12" t="str">
        <f aca="false">IF(A173&lt;&gt;"",SUM($C$6:C173),"")</f>
        <v/>
      </c>
      <c r="E173" s="12" t="str">
        <f aca="false">IF(A173&lt;&gt;"",B$3+D173,"")</f>
        <v/>
      </c>
      <c r="F173" s="12" t="str">
        <f aca="false">IF(A173&lt;&gt;"",MIN(0,E173-MAX($E$6:E173)),"")</f>
        <v/>
      </c>
      <c r="G173" s="36" t="str">
        <f aca="false">IF(A173&lt;&gt;"",IFERROR(F173/MAX($E$6:E173),0),"")</f>
        <v/>
      </c>
    </row>
    <row r="174" customFormat="false" ht="15" hidden="false" customHeight="false" outlineLevel="0" collapsed="false">
      <c r="A174" s="4" t="str">
        <f aca="false">IF('📋 Trade Log'!B172&lt;&gt;"",'📋 Trade Log'!A172,"")</f>
        <v/>
      </c>
      <c r="B174" s="5" t="str">
        <f aca="false">IF('📋 Trade Log'!B172&lt;&gt;"",'📋 Trade Log'!B172,"")</f>
        <v/>
      </c>
      <c r="C174" s="7" t="str">
        <f aca="false">IF('📋 Trade Log'!L172&lt;&gt;"",'📋 Trade Log'!L172,"")</f>
        <v/>
      </c>
      <c r="D174" s="7" t="str">
        <f aca="false">IF(A174&lt;&gt;"",SUM($C$6:C174),"")</f>
        <v/>
      </c>
      <c r="E174" s="7" t="str">
        <f aca="false">IF(A174&lt;&gt;"",B$3+D174,"")</f>
        <v/>
      </c>
      <c r="F174" s="7" t="str">
        <f aca="false">IF(A174&lt;&gt;"",MIN(0,E174-MAX($E$6:E174)),"")</f>
        <v/>
      </c>
      <c r="G174" s="35" t="str">
        <f aca="false">IF(A174&lt;&gt;"",IFERROR(F174/MAX($E$6:E174),0),"")</f>
        <v/>
      </c>
    </row>
    <row r="175" customFormat="false" ht="15" hidden="false" customHeight="false" outlineLevel="0" collapsed="false">
      <c r="A175" s="9" t="str">
        <f aca="false">IF('📋 Trade Log'!B173&lt;&gt;"",'📋 Trade Log'!A173,"")</f>
        <v/>
      </c>
      <c r="B175" s="10" t="str">
        <f aca="false">IF('📋 Trade Log'!B173&lt;&gt;"",'📋 Trade Log'!B173,"")</f>
        <v/>
      </c>
      <c r="C175" s="12" t="str">
        <f aca="false">IF('📋 Trade Log'!L173&lt;&gt;"",'📋 Trade Log'!L173,"")</f>
        <v/>
      </c>
      <c r="D175" s="12" t="str">
        <f aca="false">IF(A175&lt;&gt;"",SUM($C$6:C175),"")</f>
        <v/>
      </c>
      <c r="E175" s="12" t="str">
        <f aca="false">IF(A175&lt;&gt;"",B$3+D175,"")</f>
        <v/>
      </c>
      <c r="F175" s="12" t="str">
        <f aca="false">IF(A175&lt;&gt;"",MIN(0,E175-MAX($E$6:E175)),"")</f>
        <v/>
      </c>
      <c r="G175" s="36" t="str">
        <f aca="false">IF(A175&lt;&gt;"",IFERROR(F175/MAX($E$6:E175),0),"")</f>
        <v/>
      </c>
    </row>
    <row r="176" customFormat="false" ht="15" hidden="false" customHeight="false" outlineLevel="0" collapsed="false">
      <c r="A176" s="4" t="str">
        <f aca="false">IF('📋 Trade Log'!B174&lt;&gt;"",'📋 Trade Log'!A174,"")</f>
        <v/>
      </c>
      <c r="B176" s="5" t="str">
        <f aca="false">IF('📋 Trade Log'!B174&lt;&gt;"",'📋 Trade Log'!B174,"")</f>
        <v/>
      </c>
      <c r="C176" s="7" t="str">
        <f aca="false">IF('📋 Trade Log'!L174&lt;&gt;"",'📋 Trade Log'!L174,"")</f>
        <v/>
      </c>
      <c r="D176" s="7" t="str">
        <f aca="false">IF(A176&lt;&gt;"",SUM($C$6:C176),"")</f>
        <v/>
      </c>
      <c r="E176" s="7" t="str">
        <f aca="false">IF(A176&lt;&gt;"",B$3+D176,"")</f>
        <v/>
      </c>
      <c r="F176" s="7" t="str">
        <f aca="false">IF(A176&lt;&gt;"",MIN(0,E176-MAX($E$6:E176)),"")</f>
        <v/>
      </c>
      <c r="G176" s="35" t="str">
        <f aca="false">IF(A176&lt;&gt;"",IFERROR(F176/MAX($E$6:E176),0),"")</f>
        <v/>
      </c>
    </row>
    <row r="177" customFormat="false" ht="15" hidden="false" customHeight="false" outlineLevel="0" collapsed="false">
      <c r="A177" s="9" t="str">
        <f aca="false">IF('📋 Trade Log'!B175&lt;&gt;"",'📋 Trade Log'!A175,"")</f>
        <v/>
      </c>
      <c r="B177" s="10" t="str">
        <f aca="false">IF('📋 Trade Log'!B175&lt;&gt;"",'📋 Trade Log'!B175,"")</f>
        <v/>
      </c>
      <c r="C177" s="12" t="str">
        <f aca="false">IF('📋 Trade Log'!L175&lt;&gt;"",'📋 Trade Log'!L175,"")</f>
        <v/>
      </c>
      <c r="D177" s="12" t="str">
        <f aca="false">IF(A177&lt;&gt;"",SUM($C$6:C177),"")</f>
        <v/>
      </c>
      <c r="E177" s="12" t="str">
        <f aca="false">IF(A177&lt;&gt;"",B$3+D177,"")</f>
        <v/>
      </c>
      <c r="F177" s="12" t="str">
        <f aca="false">IF(A177&lt;&gt;"",MIN(0,E177-MAX($E$6:E177)),"")</f>
        <v/>
      </c>
      <c r="G177" s="36" t="str">
        <f aca="false">IF(A177&lt;&gt;"",IFERROR(F177/MAX($E$6:E177),0),"")</f>
        <v/>
      </c>
    </row>
    <row r="178" customFormat="false" ht="15" hidden="false" customHeight="false" outlineLevel="0" collapsed="false">
      <c r="A178" s="4" t="str">
        <f aca="false">IF('📋 Trade Log'!B176&lt;&gt;"",'📋 Trade Log'!A176,"")</f>
        <v/>
      </c>
      <c r="B178" s="5" t="str">
        <f aca="false">IF('📋 Trade Log'!B176&lt;&gt;"",'📋 Trade Log'!B176,"")</f>
        <v/>
      </c>
      <c r="C178" s="7" t="str">
        <f aca="false">IF('📋 Trade Log'!L176&lt;&gt;"",'📋 Trade Log'!L176,"")</f>
        <v/>
      </c>
      <c r="D178" s="7" t="str">
        <f aca="false">IF(A178&lt;&gt;"",SUM($C$6:C178),"")</f>
        <v/>
      </c>
      <c r="E178" s="7" t="str">
        <f aca="false">IF(A178&lt;&gt;"",B$3+D178,"")</f>
        <v/>
      </c>
      <c r="F178" s="7" t="str">
        <f aca="false">IF(A178&lt;&gt;"",MIN(0,E178-MAX($E$6:E178)),"")</f>
        <v/>
      </c>
      <c r="G178" s="35" t="str">
        <f aca="false">IF(A178&lt;&gt;"",IFERROR(F178/MAX($E$6:E178),0),"")</f>
        <v/>
      </c>
    </row>
    <row r="179" customFormat="false" ht="15" hidden="false" customHeight="false" outlineLevel="0" collapsed="false">
      <c r="A179" s="9" t="str">
        <f aca="false">IF('📋 Trade Log'!B177&lt;&gt;"",'📋 Trade Log'!A177,"")</f>
        <v/>
      </c>
      <c r="B179" s="10" t="str">
        <f aca="false">IF('📋 Trade Log'!B177&lt;&gt;"",'📋 Trade Log'!B177,"")</f>
        <v/>
      </c>
      <c r="C179" s="12" t="str">
        <f aca="false">IF('📋 Trade Log'!L177&lt;&gt;"",'📋 Trade Log'!L177,"")</f>
        <v/>
      </c>
      <c r="D179" s="12" t="str">
        <f aca="false">IF(A179&lt;&gt;"",SUM($C$6:C179),"")</f>
        <v/>
      </c>
      <c r="E179" s="12" t="str">
        <f aca="false">IF(A179&lt;&gt;"",B$3+D179,"")</f>
        <v/>
      </c>
      <c r="F179" s="12" t="str">
        <f aca="false">IF(A179&lt;&gt;"",MIN(0,E179-MAX($E$6:E179)),"")</f>
        <v/>
      </c>
      <c r="G179" s="36" t="str">
        <f aca="false">IF(A179&lt;&gt;"",IFERROR(F179/MAX($E$6:E179),0),"")</f>
        <v/>
      </c>
    </row>
    <row r="180" customFormat="false" ht="15" hidden="false" customHeight="false" outlineLevel="0" collapsed="false">
      <c r="A180" s="4" t="str">
        <f aca="false">IF('📋 Trade Log'!B178&lt;&gt;"",'📋 Trade Log'!A178,"")</f>
        <v/>
      </c>
      <c r="B180" s="5" t="str">
        <f aca="false">IF('📋 Trade Log'!B178&lt;&gt;"",'📋 Trade Log'!B178,"")</f>
        <v/>
      </c>
      <c r="C180" s="7" t="str">
        <f aca="false">IF('📋 Trade Log'!L178&lt;&gt;"",'📋 Trade Log'!L178,"")</f>
        <v/>
      </c>
      <c r="D180" s="7" t="str">
        <f aca="false">IF(A180&lt;&gt;"",SUM($C$6:C180),"")</f>
        <v/>
      </c>
      <c r="E180" s="7" t="str">
        <f aca="false">IF(A180&lt;&gt;"",B$3+D180,"")</f>
        <v/>
      </c>
      <c r="F180" s="7" t="str">
        <f aca="false">IF(A180&lt;&gt;"",MIN(0,E180-MAX($E$6:E180)),"")</f>
        <v/>
      </c>
      <c r="G180" s="35" t="str">
        <f aca="false">IF(A180&lt;&gt;"",IFERROR(F180/MAX($E$6:E180),0),"")</f>
        <v/>
      </c>
    </row>
    <row r="181" customFormat="false" ht="15" hidden="false" customHeight="false" outlineLevel="0" collapsed="false">
      <c r="A181" s="9" t="str">
        <f aca="false">IF('📋 Trade Log'!B179&lt;&gt;"",'📋 Trade Log'!A179,"")</f>
        <v/>
      </c>
      <c r="B181" s="10" t="str">
        <f aca="false">IF('📋 Trade Log'!B179&lt;&gt;"",'📋 Trade Log'!B179,"")</f>
        <v/>
      </c>
      <c r="C181" s="12" t="str">
        <f aca="false">IF('📋 Trade Log'!L179&lt;&gt;"",'📋 Trade Log'!L179,"")</f>
        <v/>
      </c>
      <c r="D181" s="12" t="str">
        <f aca="false">IF(A181&lt;&gt;"",SUM($C$6:C181),"")</f>
        <v/>
      </c>
      <c r="E181" s="12" t="str">
        <f aca="false">IF(A181&lt;&gt;"",B$3+D181,"")</f>
        <v/>
      </c>
      <c r="F181" s="12" t="str">
        <f aca="false">IF(A181&lt;&gt;"",MIN(0,E181-MAX($E$6:E181)),"")</f>
        <v/>
      </c>
      <c r="G181" s="36" t="str">
        <f aca="false">IF(A181&lt;&gt;"",IFERROR(F181/MAX($E$6:E181),0),"")</f>
        <v/>
      </c>
    </row>
    <row r="182" customFormat="false" ht="15" hidden="false" customHeight="false" outlineLevel="0" collapsed="false">
      <c r="A182" s="4" t="str">
        <f aca="false">IF('📋 Trade Log'!B180&lt;&gt;"",'📋 Trade Log'!A180,"")</f>
        <v/>
      </c>
      <c r="B182" s="5" t="str">
        <f aca="false">IF('📋 Trade Log'!B180&lt;&gt;"",'📋 Trade Log'!B180,"")</f>
        <v/>
      </c>
      <c r="C182" s="7" t="str">
        <f aca="false">IF('📋 Trade Log'!L180&lt;&gt;"",'📋 Trade Log'!L180,"")</f>
        <v/>
      </c>
      <c r="D182" s="7" t="str">
        <f aca="false">IF(A182&lt;&gt;"",SUM($C$6:C182),"")</f>
        <v/>
      </c>
      <c r="E182" s="7" t="str">
        <f aca="false">IF(A182&lt;&gt;"",B$3+D182,"")</f>
        <v/>
      </c>
      <c r="F182" s="7" t="str">
        <f aca="false">IF(A182&lt;&gt;"",MIN(0,E182-MAX($E$6:E182)),"")</f>
        <v/>
      </c>
      <c r="G182" s="35" t="str">
        <f aca="false">IF(A182&lt;&gt;"",IFERROR(F182/MAX($E$6:E182),0),"")</f>
        <v/>
      </c>
    </row>
    <row r="183" customFormat="false" ht="15" hidden="false" customHeight="false" outlineLevel="0" collapsed="false">
      <c r="A183" s="9" t="str">
        <f aca="false">IF('📋 Trade Log'!B181&lt;&gt;"",'📋 Trade Log'!A181,"")</f>
        <v/>
      </c>
      <c r="B183" s="10" t="str">
        <f aca="false">IF('📋 Trade Log'!B181&lt;&gt;"",'📋 Trade Log'!B181,"")</f>
        <v/>
      </c>
      <c r="C183" s="12" t="str">
        <f aca="false">IF('📋 Trade Log'!L181&lt;&gt;"",'📋 Trade Log'!L181,"")</f>
        <v/>
      </c>
      <c r="D183" s="12" t="str">
        <f aca="false">IF(A183&lt;&gt;"",SUM($C$6:C183),"")</f>
        <v/>
      </c>
      <c r="E183" s="12" t="str">
        <f aca="false">IF(A183&lt;&gt;"",B$3+D183,"")</f>
        <v/>
      </c>
      <c r="F183" s="12" t="str">
        <f aca="false">IF(A183&lt;&gt;"",MIN(0,E183-MAX($E$6:E183)),"")</f>
        <v/>
      </c>
      <c r="G183" s="36" t="str">
        <f aca="false">IF(A183&lt;&gt;"",IFERROR(F183/MAX($E$6:E183),0),"")</f>
        <v/>
      </c>
    </row>
    <row r="184" customFormat="false" ht="15" hidden="false" customHeight="false" outlineLevel="0" collapsed="false">
      <c r="A184" s="4" t="str">
        <f aca="false">IF('📋 Trade Log'!B182&lt;&gt;"",'📋 Trade Log'!A182,"")</f>
        <v/>
      </c>
      <c r="B184" s="5" t="str">
        <f aca="false">IF('📋 Trade Log'!B182&lt;&gt;"",'📋 Trade Log'!B182,"")</f>
        <v/>
      </c>
      <c r="C184" s="7" t="str">
        <f aca="false">IF('📋 Trade Log'!L182&lt;&gt;"",'📋 Trade Log'!L182,"")</f>
        <v/>
      </c>
      <c r="D184" s="7" t="str">
        <f aca="false">IF(A184&lt;&gt;"",SUM($C$6:C184),"")</f>
        <v/>
      </c>
      <c r="E184" s="7" t="str">
        <f aca="false">IF(A184&lt;&gt;"",B$3+D184,"")</f>
        <v/>
      </c>
      <c r="F184" s="7" t="str">
        <f aca="false">IF(A184&lt;&gt;"",MIN(0,E184-MAX($E$6:E184)),"")</f>
        <v/>
      </c>
      <c r="G184" s="35" t="str">
        <f aca="false">IF(A184&lt;&gt;"",IFERROR(F184/MAX($E$6:E184),0),"")</f>
        <v/>
      </c>
    </row>
    <row r="185" customFormat="false" ht="15" hidden="false" customHeight="false" outlineLevel="0" collapsed="false">
      <c r="A185" s="9" t="str">
        <f aca="false">IF('📋 Trade Log'!B183&lt;&gt;"",'📋 Trade Log'!A183,"")</f>
        <v/>
      </c>
      <c r="B185" s="10" t="str">
        <f aca="false">IF('📋 Trade Log'!B183&lt;&gt;"",'📋 Trade Log'!B183,"")</f>
        <v/>
      </c>
      <c r="C185" s="12" t="str">
        <f aca="false">IF('📋 Trade Log'!L183&lt;&gt;"",'📋 Trade Log'!L183,"")</f>
        <v/>
      </c>
      <c r="D185" s="12" t="str">
        <f aca="false">IF(A185&lt;&gt;"",SUM($C$6:C185),"")</f>
        <v/>
      </c>
      <c r="E185" s="12" t="str">
        <f aca="false">IF(A185&lt;&gt;"",B$3+D185,"")</f>
        <v/>
      </c>
      <c r="F185" s="12" t="str">
        <f aca="false">IF(A185&lt;&gt;"",MIN(0,E185-MAX($E$6:E185)),"")</f>
        <v/>
      </c>
      <c r="G185" s="36" t="str">
        <f aca="false">IF(A185&lt;&gt;"",IFERROR(F185/MAX($E$6:E185),0),"")</f>
        <v/>
      </c>
    </row>
    <row r="186" customFormat="false" ht="15" hidden="false" customHeight="false" outlineLevel="0" collapsed="false">
      <c r="A186" s="4" t="str">
        <f aca="false">IF('📋 Trade Log'!B184&lt;&gt;"",'📋 Trade Log'!A184,"")</f>
        <v/>
      </c>
      <c r="B186" s="5" t="str">
        <f aca="false">IF('📋 Trade Log'!B184&lt;&gt;"",'📋 Trade Log'!B184,"")</f>
        <v/>
      </c>
      <c r="C186" s="7" t="str">
        <f aca="false">IF('📋 Trade Log'!L184&lt;&gt;"",'📋 Trade Log'!L184,"")</f>
        <v/>
      </c>
      <c r="D186" s="7" t="str">
        <f aca="false">IF(A186&lt;&gt;"",SUM($C$6:C186),"")</f>
        <v/>
      </c>
      <c r="E186" s="7" t="str">
        <f aca="false">IF(A186&lt;&gt;"",B$3+D186,"")</f>
        <v/>
      </c>
      <c r="F186" s="7" t="str">
        <f aca="false">IF(A186&lt;&gt;"",MIN(0,E186-MAX($E$6:E186)),"")</f>
        <v/>
      </c>
      <c r="G186" s="35" t="str">
        <f aca="false">IF(A186&lt;&gt;"",IFERROR(F186/MAX($E$6:E186),0),"")</f>
        <v/>
      </c>
    </row>
    <row r="187" customFormat="false" ht="15" hidden="false" customHeight="false" outlineLevel="0" collapsed="false">
      <c r="A187" s="9" t="str">
        <f aca="false">IF('📋 Trade Log'!B185&lt;&gt;"",'📋 Trade Log'!A185,"")</f>
        <v/>
      </c>
      <c r="B187" s="10" t="str">
        <f aca="false">IF('📋 Trade Log'!B185&lt;&gt;"",'📋 Trade Log'!B185,"")</f>
        <v/>
      </c>
      <c r="C187" s="12" t="str">
        <f aca="false">IF('📋 Trade Log'!L185&lt;&gt;"",'📋 Trade Log'!L185,"")</f>
        <v/>
      </c>
      <c r="D187" s="12" t="str">
        <f aca="false">IF(A187&lt;&gt;"",SUM($C$6:C187),"")</f>
        <v/>
      </c>
      <c r="E187" s="12" t="str">
        <f aca="false">IF(A187&lt;&gt;"",B$3+D187,"")</f>
        <v/>
      </c>
      <c r="F187" s="12" t="str">
        <f aca="false">IF(A187&lt;&gt;"",MIN(0,E187-MAX($E$6:E187)),"")</f>
        <v/>
      </c>
      <c r="G187" s="36" t="str">
        <f aca="false">IF(A187&lt;&gt;"",IFERROR(F187/MAX($E$6:E187),0),"")</f>
        <v/>
      </c>
    </row>
    <row r="188" customFormat="false" ht="15" hidden="false" customHeight="false" outlineLevel="0" collapsed="false">
      <c r="A188" s="4" t="str">
        <f aca="false">IF('📋 Trade Log'!B186&lt;&gt;"",'📋 Trade Log'!A186,"")</f>
        <v/>
      </c>
      <c r="B188" s="5" t="str">
        <f aca="false">IF('📋 Trade Log'!B186&lt;&gt;"",'📋 Trade Log'!B186,"")</f>
        <v/>
      </c>
      <c r="C188" s="7" t="str">
        <f aca="false">IF('📋 Trade Log'!L186&lt;&gt;"",'📋 Trade Log'!L186,"")</f>
        <v/>
      </c>
      <c r="D188" s="7" t="str">
        <f aca="false">IF(A188&lt;&gt;"",SUM($C$6:C188),"")</f>
        <v/>
      </c>
      <c r="E188" s="7" t="str">
        <f aca="false">IF(A188&lt;&gt;"",B$3+D188,"")</f>
        <v/>
      </c>
      <c r="F188" s="7" t="str">
        <f aca="false">IF(A188&lt;&gt;"",MIN(0,E188-MAX($E$6:E188)),"")</f>
        <v/>
      </c>
      <c r="G188" s="35" t="str">
        <f aca="false">IF(A188&lt;&gt;"",IFERROR(F188/MAX($E$6:E188),0),"")</f>
        <v/>
      </c>
    </row>
    <row r="189" customFormat="false" ht="15" hidden="false" customHeight="false" outlineLevel="0" collapsed="false">
      <c r="A189" s="9" t="str">
        <f aca="false">IF('📋 Trade Log'!B187&lt;&gt;"",'📋 Trade Log'!A187,"")</f>
        <v/>
      </c>
      <c r="B189" s="10" t="str">
        <f aca="false">IF('📋 Trade Log'!B187&lt;&gt;"",'📋 Trade Log'!B187,"")</f>
        <v/>
      </c>
      <c r="C189" s="12" t="str">
        <f aca="false">IF('📋 Trade Log'!L187&lt;&gt;"",'📋 Trade Log'!L187,"")</f>
        <v/>
      </c>
      <c r="D189" s="12" t="str">
        <f aca="false">IF(A189&lt;&gt;"",SUM($C$6:C189),"")</f>
        <v/>
      </c>
      <c r="E189" s="12" t="str">
        <f aca="false">IF(A189&lt;&gt;"",B$3+D189,"")</f>
        <v/>
      </c>
      <c r="F189" s="12" t="str">
        <f aca="false">IF(A189&lt;&gt;"",MIN(0,E189-MAX($E$6:E189)),"")</f>
        <v/>
      </c>
      <c r="G189" s="36" t="str">
        <f aca="false">IF(A189&lt;&gt;"",IFERROR(F189/MAX($E$6:E189),0),"")</f>
        <v/>
      </c>
    </row>
    <row r="190" customFormat="false" ht="15" hidden="false" customHeight="false" outlineLevel="0" collapsed="false">
      <c r="A190" s="4" t="str">
        <f aca="false">IF('📋 Trade Log'!B188&lt;&gt;"",'📋 Trade Log'!A188,"")</f>
        <v/>
      </c>
      <c r="B190" s="5" t="str">
        <f aca="false">IF('📋 Trade Log'!B188&lt;&gt;"",'📋 Trade Log'!B188,"")</f>
        <v/>
      </c>
      <c r="C190" s="7" t="str">
        <f aca="false">IF('📋 Trade Log'!L188&lt;&gt;"",'📋 Trade Log'!L188,"")</f>
        <v/>
      </c>
      <c r="D190" s="7" t="str">
        <f aca="false">IF(A190&lt;&gt;"",SUM($C$6:C190),"")</f>
        <v/>
      </c>
      <c r="E190" s="7" t="str">
        <f aca="false">IF(A190&lt;&gt;"",B$3+D190,"")</f>
        <v/>
      </c>
      <c r="F190" s="7" t="str">
        <f aca="false">IF(A190&lt;&gt;"",MIN(0,E190-MAX($E$6:E190)),"")</f>
        <v/>
      </c>
      <c r="G190" s="35" t="str">
        <f aca="false">IF(A190&lt;&gt;"",IFERROR(F190/MAX($E$6:E190),0),"")</f>
        <v/>
      </c>
    </row>
    <row r="191" customFormat="false" ht="15" hidden="false" customHeight="false" outlineLevel="0" collapsed="false">
      <c r="A191" s="9" t="str">
        <f aca="false">IF('📋 Trade Log'!B189&lt;&gt;"",'📋 Trade Log'!A189,"")</f>
        <v/>
      </c>
      <c r="B191" s="10" t="str">
        <f aca="false">IF('📋 Trade Log'!B189&lt;&gt;"",'📋 Trade Log'!B189,"")</f>
        <v/>
      </c>
      <c r="C191" s="12" t="str">
        <f aca="false">IF('📋 Trade Log'!L189&lt;&gt;"",'📋 Trade Log'!L189,"")</f>
        <v/>
      </c>
      <c r="D191" s="12" t="str">
        <f aca="false">IF(A191&lt;&gt;"",SUM($C$6:C191),"")</f>
        <v/>
      </c>
      <c r="E191" s="12" t="str">
        <f aca="false">IF(A191&lt;&gt;"",B$3+D191,"")</f>
        <v/>
      </c>
      <c r="F191" s="12" t="str">
        <f aca="false">IF(A191&lt;&gt;"",MIN(0,E191-MAX($E$6:E191)),"")</f>
        <v/>
      </c>
      <c r="G191" s="36" t="str">
        <f aca="false">IF(A191&lt;&gt;"",IFERROR(F191/MAX($E$6:E191),0),"")</f>
        <v/>
      </c>
    </row>
    <row r="192" customFormat="false" ht="15" hidden="false" customHeight="false" outlineLevel="0" collapsed="false">
      <c r="A192" s="4" t="str">
        <f aca="false">IF('📋 Trade Log'!B190&lt;&gt;"",'📋 Trade Log'!A190,"")</f>
        <v/>
      </c>
      <c r="B192" s="5" t="str">
        <f aca="false">IF('📋 Trade Log'!B190&lt;&gt;"",'📋 Trade Log'!B190,"")</f>
        <v/>
      </c>
      <c r="C192" s="7" t="str">
        <f aca="false">IF('📋 Trade Log'!L190&lt;&gt;"",'📋 Trade Log'!L190,"")</f>
        <v/>
      </c>
      <c r="D192" s="7" t="str">
        <f aca="false">IF(A192&lt;&gt;"",SUM($C$6:C192),"")</f>
        <v/>
      </c>
      <c r="E192" s="7" t="str">
        <f aca="false">IF(A192&lt;&gt;"",B$3+D192,"")</f>
        <v/>
      </c>
      <c r="F192" s="7" t="str">
        <f aca="false">IF(A192&lt;&gt;"",MIN(0,E192-MAX($E$6:E192)),"")</f>
        <v/>
      </c>
      <c r="G192" s="35" t="str">
        <f aca="false">IF(A192&lt;&gt;"",IFERROR(F192/MAX($E$6:E192),0),"")</f>
        <v/>
      </c>
    </row>
    <row r="193" customFormat="false" ht="15" hidden="false" customHeight="false" outlineLevel="0" collapsed="false">
      <c r="A193" s="9" t="str">
        <f aca="false">IF('📋 Trade Log'!B191&lt;&gt;"",'📋 Trade Log'!A191,"")</f>
        <v/>
      </c>
      <c r="B193" s="10" t="str">
        <f aca="false">IF('📋 Trade Log'!B191&lt;&gt;"",'📋 Trade Log'!B191,"")</f>
        <v/>
      </c>
      <c r="C193" s="12" t="str">
        <f aca="false">IF('📋 Trade Log'!L191&lt;&gt;"",'📋 Trade Log'!L191,"")</f>
        <v/>
      </c>
      <c r="D193" s="12" t="str">
        <f aca="false">IF(A193&lt;&gt;"",SUM($C$6:C193),"")</f>
        <v/>
      </c>
      <c r="E193" s="12" t="str">
        <f aca="false">IF(A193&lt;&gt;"",B$3+D193,"")</f>
        <v/>
      </c>
      <c r="F193" s="12" t="str">
        <f aca="false">IF(A193&lt;&gt;"",MIN(0,E193-MAX($E$6:E193)),"")</f>
        <v/>
      </c>
      <c r="G193" s="36" t="str">
        <f aca="false">IF(A193&lt;&gt;"",IFERROR(F193/MAX($E$6:E193),0),"")</f>
        <v/>
      </c>
    </row>
    <row r="194" customFormat="false" ht="15" hidden="false" customHeight="false" outlineLevel="0" collapsed="false">
      <c r="A194" s="4" t="str">
        <f aca="false">IF('📋 Trade Log'!B192&lt;&gt;"",'📋 Trade Log'!A192,"")</f>
        <v/>
      </c>
      <c r="B194" s="5" t="str">
        <f aca="false">IF('📋 Trade Log'!B192&lt;&gt;"",'📋 Trade Log'!B192,"")</f>
        <v/>
      </c>
      <c r="C194" s="7" t="str">
        <f aca="false">IF('📋 Trade Log'!L192&lt;&gt;"",'📋 Trade Log'!L192,"")</f>
        <v/>
      </c>
      <c r="D194" s="7" t="str">
        <f aca="false">IF(A194&lt;&gt;"",SUM($C$6:C194),"")</f>
        <v/>
      </c>
      <c r="E194" s="7" t="str">
        <f aca="false">IF(A194&lt;&gt;"",B$3+D194,"")</f>
        <v/>
      </c>
      <c r="F194" s="7" t="str">
        <f aca="false">IF(A194&lt;&gt;"",MIN(0,E194-MAX($E$6:E194)),"")</f>
        <v/>
      </c>
      <c r="G194" s="35" t="str">
        <f aca="false">IF(A194&lt;&gt;"",IFERROR(F194/MAX($E$6:E194),0),"")</f>
        <v/>
      </c>
    </row>
    <row r="195" customFormat="false" ht="15" hidden="false" customHeight="false" outlineLevel="0" collapsed="false">
      <c r="A195" s="9" t="str">
        <f aca="false">IF('📋 Trade Log'!B193&lt;&gt;"",'📋 Trade Log'!A193,"")</f>
        <v/>
      </c>
      <c r="B195" s="10" t="str">
        <f aca="false">IF('📋 Trade Log'!B193&lt;&gt;"",'📋 Trade Log'!B193,"")</f>
        <v/>
      </c>
      <c r="C195" s="12" t="str">
        <f aca="false">IF('📋 Trade Log'!L193&lt;&gt;"",'📋 Trade Log'!L193,"")</f>
        <v/>
      </c>
      <c r="D195" s="12" t="str">
        <f aca="false">IF(A195&lt;&gt;"",SUM($C$6:C195),"")</f>
        <v/>
      </c>
      <c r="E195" s="12" t="str">
        <f aca="false">IF(A195&lt;&gt;"",B$3+D195,"")</f>
        <v/>
      </c>
      <c r="F195" s="12" t="str">
        <f aca="false">IF(A195&lt;&gt;"",MIN(0,E195-MAX($E$6:E195)),"")</f>
        <v/>
      </c>
      <c r="G195" s="36" t="str">
        <f aca="false">IF(A195&lt;&gt;"",IFERROR(F195/MAX($E$6:E195),0),"")</f>
        <v/>
      </c>
    </row>
    <row r="196" customFormat="false" ht="15" hidden="false" customHeight="false" outlineLevel="0" collapsed="false">
      <c r="A196" s="4" t="str">
        <f aca="false">IF('📋 Trade Log'!B194&lt;&gt;"",'📋 Trade Log'!A194,"")</f>
        <v/>
      </c>
      <c r="B196" s="5" t="str">
        <f aca="false">IF('📋 Trade Log'!B194&lt;&gt;"",'📋 Trade Log'!B194,"")</f>
        <v/>
      </c>
      <c r="C196" s="7" t="str">
        <f aca="false">IF('📋 Trade Log'!L194&lt;&gt;"",'📋 Trade Log'!L194,"")</f>
        <v/>
      </c>
      <c r="D196" s="7" t="str">
        <f aca="false">IF(A196&lt;&gt;"",SUM($C$6:C196),"")</f>
        <v/>
      </c>
      <c r="E196" s="7" t="str">
        <f aca="false">IF(A196&lt;&gt;"",B$3+D196,"")</f>
        <v/>
      </c>
      <c r="F196" s="7" t="str">
        <f aca="false">IF(A196&lt;&gt;"",MIN(0,E196-MAX($E$6:E196)),"")</f>
        <v/>
      </c>
      <c r="G196" s="35" t="str">
        <f aca="false">IF(A196&lt;&gt;"",IFERROR(F196/MAX($E$6:E196),0),"")</f>
        <v/>
      </c>
    </row>
    <row r="197" customFormat="false" ht="15" hidden="false" customHeight="false" outlineLevel="0" collapsed="false">
      <c r="A197" s="9" t="str">
        <f aca="false">IF('📋 Trade Log'!B195&lt;&gt;"",'📋 Trade Log'!A195,"")</f>
        <v/>
      </c>
      <c r="B197" s="10" t="str">
        <f aca="false">IF('📋 Trade Log'!B195&lt;&gt;"",'📋 Trade Log'!B195,"")</f>
        <v/>
      </c>
      <c r="C197" s="12" t="str">
        <f aca="false">IF('📋 Trade Log'!L195&lt;&gt;"",'📋 Trade Log'!L195,"")</f>
        <v/>
      </c>
      <c r="D197" s="12" t="str">
        <f aca="false">IF(A197&lt;&gt;"",SUM($C$6:C197),"")</f>
        <v/>
      </c>
      <c r="E197" s="12" t="str">
        <f aca="false">IF(A197&lt;&gt;"",B$3+D197,"")</f>
        <v/>
      </c>
      <c r="F197" s="12" t="str">
        <f aca="false">IF(A197&lt;&gt;"",MIN(0,E197-MAX($E$6:E197)),"")</f>
        <v/>
      </c>
      <c r="G197" s="36" t="str">
        <f aca="false">IF(A197&lt;&gt;"",IFERROR(F197/MAX($E$6:E197),0),"")</f>
        <v/>
      </c>
    </row>
    <row r="198" customFormat="false" ht="15" hidden="false" customHeight="false" outlineLevel="0" collapsed="false">
      <c r="A198" s="4" t="str">
        <f aca="false">IF('📋 Trade Log'!B196&lt;&gt;"",'📋 Trade Log'!A196,"")</f>
        <v/>
      </c>
      <c r="B198" s="5" t="str">
        <f aca="false">IF('📋 Trade Log'!B196&lt;&gt;"",'📋 Trade Log'!B196,"")</f>
        <v/>
      </c>
      <c r="C198" s="7" t="str">
        <f aca="false">IF('📋 Trade Log'!L196&lt;&gt;"",'📋 Trade Log'!L196,"")</f>
        <v/>
      </c>
      <c r="D198" s="7" t="str">
        <f aca="false">IF(A198&lt;&gt;"",SUM($C$6:C198),"")</f>
        <v/>
      </c>
      <c r="E198" s="7" t="str">
        <f aca="false">IF(A198&lt;&gt;"",B$3+D198,"")</f>
        <v/>
      </c>
      <c r="F198" s="7" t="str">
        <f aca="false">IF(A198&lt;&gt;"",MIN(0,E198-MAX($E$6:E198)),"")</f>
        <v/>
      </c>
      <c r="G198" s="35" t="str">
        <f aca="false">IF(A198&lt;&gt;"",IFERROR(F198/MAX($E$6:E198),0),"")</f>
        <v/>
      </c>
    </row>
    <row r="199" customFormat="false" ht="15" hidden="false" customHeight="false" outlineLevel="0" collapsed="false">
      <c r="A199" s="9" t="str">
        <f aca="false">IF('📋 Trade Log'!B197&lt;&gt;"",'📋 Trade Log'!A197,"")</f>
        <v/>
      </c>
      <c r="B199" s="10" t="str">
        <f aca="false">IF('📋 Trade Log'!B197&lt;&gt;"",'📋 Trade Log'!B197,"")</f>
        <v/>
      </c>
      <c r="C199" s="12" t="str">
        <f aca="false">IF('📋 Trade Log'!L197&lt;&gt;"",'📋 Trade Log'!L197,"")</f>
        <v/>
      </c>
      <c r="D199" s="12" t="str">
        <f aca="false">IF(A199&lt;&gt;"",SUM($C$6:C199),"")</f>
        <v/>
      </c>
      <c r="E199" s="12" t="str">
        <f aca="false">IF(A199&lt;&gt;"",B$3+D199,"")</f>
        <v/>
      </c>
      <c r="F199" s="12" t="str">
        <f aca="false">IF(A199&lt;&gt;"",MIN(0,E199-MAX($E$6:E199)),"")</f>
        <v/>
      </c>
      <c r="G199" s="36" t="str">
        <f aca="false">IF(A199&lt;&gt;"",IFERROR(F199/MAX($E$6:E199),0),"")</f>
        <v/>
      </c>
    </row>
    <row r="200" customFormat="false" ht="15" hidden="false" customHeight="false" outlineLevel="0" collapsed="false">
      <c r="A200" s="4" t="str">
        <f aca="false">IF('📋 Trade Log'!B198&lt;&gt;"",'📋 Trade Log'!A198,"")</f>
        <v/>
      </c>
      <c r="B200" s="5" t="str">
        <f aca="false">IF('📋 Trade Log'!B198&lt;&gt;"",'📋 Trade Log'!B198,"")</f>
        <v/>
      </c>
      <c r="C200" s="7" t="str">
        <f aca="false">IF('📋 Trade Log'!L198&lt;&gt;"",'📋 Trade Log'!L198,"")</f>
        <v/>
      </c>
      <c r="D200" s="7" t="str">
        <f aca="false">IF(A200&lt;&gt;"",SUM($C$6:C200),"")</f>
        <v/>
      </c>
      <c r="E200" s="7" t="str">
        <f aca="false">IF(A200&lt;&gt;"",B$3+D200,"")</f>
        <v/>
      </c>
      <c r="F200" s="7" t="str">
        <f aca="false">IF(A200&lt;&gt;"",MIN(0,E200-MAX($E$6:E200)),"")</f>
        <v/>
      </c>
      <c r="G200" s="35" t="str">
        <f aca="false">IF(A200&lt;&gt;"",IFERROR(F200/MAX($E$6:E200),0),"")</f>
        <v/>
      </c>
    </row>
    <row r="201" customFormat="false" ht="15" hidden="false" customHeight="false" outlineLevel="0" collapsed="false">
      <c r="A201" s="9" t="str">
        <f aca="false">IF('📋 Trade Log'!B199&lt;&gt;"",'📋 Trade Log'!A199,"")</f>
        <v/>
      </c>
      <c r="B201" s="10" t="str">
        <f aca="false">IF('📋 Trade Log'!B199&lt;&gt;"",'📋 Trade Log'!B199,"")</f>
        <v/>
      </c>
      <c r="C201" s="12" t="str">
        <f aca="false">IF('📋 Trade Log'!L199&lt;&gt;"",'📋 Trade Log'!L199,"")</f>
        <v/>
      </c>
      <c r="D201" s="12" t="str">
        <f aca="false">IF(A201&lt;&gt;"",SUM($C$6:C201),"")</f>
        <v/>
      </c>
      <c r="E201" s="12" t="str">
        <f aca="false">IF(A201&lt;&gt;"",B$3+D201,"")</f>
        <v/>
      </c>
      <c r="F201" s="12" t="str">
        <f aca="false">IF(A201&lt;&gt;"",MIN(0,E201-MAX($E$6:E201)),"")</f>
        <v/>
      </c>
      <c r="G201" s="36" t="str">
        <f aca="false">IF(A201&lt;&gt;"",IFERROR(F201/MAX($E$6:E201),0),"")</f>
        <v/>
      </c>
    </row>
    <row r="202" customFormat="false" ht="15" hidden="false" customHeight="false" outlineLevel="0" collapsed="false">
      <c r="A202" s="4" t="str">
        <f aca="false">IF('📋 Trade Log'!B200&lt;&gt;"",'📋 Trade Log'!A200,"")</f>
        <v/>
      </c>
      <c r="B202" s="5" t="str">
        <f aca="false">IF('📋 Trade Log'!B200&lt;&gt;"",'📋 Trade Log'!B200,"")</f>
        <v/>
      </c>
      <c r="C202" s="7" t="str">
        <f aca="false">IF('📋 Trade Log'!L200&lt;&gt;"",'📋 Trade Log'!L200,"")</f>
        <v/>
      </c>
      <c r="D202" s="7" t="str">
        <f aca="false">IF(A202&lt;&gt;"",SUM($C$6:C202),"")</f>
        <v/>
      </c>
      <c r="E202" s="7" t="str">
        <f aca="false">IF(A202&lt;&gt;"",B$3+D202,"")</f>
        <v/>
      </c>
      <c r="F202" s="7" t="str">
        <f aca="false">IF(A202&lt;&gt;"",MIN(0,E202-MAX($E$6:E202)),"")</f>
        <v/>
      </c>
      <c r="G202" s="35" t="str">
        <f aca="false">IF(A202&lt;&gt;"",IFERROR(F202/MAX($E$6:E202),0),"")</f>
        <v/>
      </c>
    </row>
    <row r="203" customFormat="false" ht="15" hidden="false" customHeight="false" outlineLevel="0" collapsed="false">
      <c r="A203" s="9" t="str">
        <f aca="false">IF('📋 Trade Log'!B201&lt;&gt;"",'📋 Trade Log'!A201,"")</f>
        <v/>
      </c>
      <c r="B203" s="10" t="str">
        <f aca="false">IF('📋 Trade Log'!B201&lt;&gt;"",'📋 Trade Log'!B201,"")</f>
        <v/>
      </c>
      <c r="C203" s="12" t="str">
        <f aca="false">IF('📋 Trade Log'!L201&lt;&gt;"",'📋 Trade Log'!L201,"")</f>
        <v/>
      </c>
      <c r="D203" s="12" t="str">
        <f aca="false">IF(A203&lt;&gt;"",SUM($C$6:C203),"")</f>
        <v/>
      </c>
      <c r="E203" s="12" t="str">
        <f aca="false">IF(A203&lt;&gt;"",B$3+D203,"")</f>
        <v/>
      </c>
      <c r="F203" s="12" t="str">
        <f aca="false">IF(A203&lt;&gt;"",MIN(0,E203-MAX($E$6:E203)),"")</f>
        <v/>
      </c>
      <c r="G203" s="36" t="str">
        <f aca="false">IF(A203&lt;&gt;"",IFERROR(F203/MAX($E$6:E203),0),"")</f>
        <v/>
      </c>
    </row>
    <row r="204" customFormat="false" ht="15" hidden="false" customHeight="false" outlineLevel="0" collapsed="false">
      <c r="A204" s="4" t="str">
        <f aca="false">IF('📋 Trade Log'!B202&lt;&gt;"",'📋 Trade Log'!A202,"")</f>
        <v/>
      </c>
      <c r="B204" s="5" t="str">
        <f aca="false">IF('📋 Trade Log'!B202&lt;&gt;"",'📋 Trade Log'!B202,"")</f>
        <v/>
      </c>
      <c r="C204" s="7" t="str">
        <f aca="false">IF('📋 Trade Log'!L202&lt;&gt;"",'📋 Trade Log'!L202,"")</f>
        <v/>
      </c>
      <c r="D204" s="7" t="str">
        <f aca="false">IF(A204&lt;&gt;"",SUM($C$6:C204),"")</f>
        <v/>
      </c>
      <c r="E204" s="7" t="str">
        <f aca="false">IF(A204&lt;&gt;"",B$3+D204,"")</f>
        <v/>
      </c>
      <c r="F204" s="7" t="str">
        <f aca="false">IF(A204&lt;&gt;"",MIN(0,E204-MAX($E$6:E204)),"")</f>
        <v/>
      </c>
      <c r="G204" s="35" t="str">
        <f aca="false">IF(A204&lt;&gt;"",IFERROR(F204/MAX($E$6:E204),0),"")</f>
        <v/>
      </c>
    </row>
    <row r="205" customFormat="false" ht="15" hidden="false" customHeight="false" outlineLevel="0" collapsed="false">
      <c r="A205" s="9" t="str">
        <f aca="false">IF('📋 Trade Log'!B203&lt;&gt;"",'📋 Trade Log'!A203,"")</f>
        <v/>
      </c>
      <c r="B205" s="10" t="str">
        <f aca="false">IF('📋 Trade Log'!B203&lt;&gt;"",'📋 Trade Log'!B203,"")</f>
        <v/>
      </c>
      <c r="C205" s="12" t="str">
        <f aca="false">IF('📋 Trade Log'!L203&lt;&gt;"",'📋 Trade Log'!L203,"")</f>
        <v/>
      </c>
      <c r="D205" s="12" t="str">
        <f aca="false">IF(A205&lt;&gt;"",SUM($C$6:C205),"")</f>
        <v/>
      </c>
      <c r="E205" s="12" t="str">
        <f aca="false">IF(A205&lt;&gt;"",B$3+D205,"")</f>
        <v/>
      </c>
      <c r="F205" s="12" t="str">
        <f aca="false">IF(A205&lt;&gt;"",MIN(0,E205-MAX($E$6:E205)),"")</f>
        <v/>
      </c>
      <c r="G205" s="36" t="str">
        <f aca="false">IF(A205&lt;&gt;"",IFERROR(F205/MAX($E$6:E205),0),"")</f>
        <v/>
      </c>
    </row>
    <row r="206" customFormat="false" ht="15" hidden="false" customHeight="false" outlineLevel="0" collapsed="false">
      <c r="A206" s="4" t="str">
        <f aca="false">IF('📋 Trade Log'!B204&lt;&gt;"",'📋 Trade Log'!A204,"")</f>
        <v/>
      </c>
      <c r="B206" s="5" t="str">
        <f aca="false">IF('📋 Trade Log'!B204&lt;&gt;"",'📋 Trade Log'!B204,"")</f>
        <v/>
      </c>
      <c r="C206" s="7" t="str">
        <f aca="false">IF('📋 Trade Log'!L204&lt;&gt;"",'📋 Trade Log'!L204,"")</f>
        <v/>
      </c>
      <c r="D206" s="7" t="str">
        <f aca="false">IF(A206&lt;&gt;"",SUM($C$6:C206),"")</f>
        <v/>
      </c>
      <c r="E206" s="7" t="str">
        <f aca="false">IF(A206&lt;&gt;"",B$3+D206,"")</f>
        <v/>
      </c>
      <c r="F206" s="7" t="str">
        <f aca="false">IF(A206&lt;&gt;"",MIN(0,E206-MAX($E$6:E206)),"")</f>
        <v/>
      </c>
      <c r="G206" s="35" t="str">
        <f aca="false">IF(A206&lt;&gt;"",IFERROR(F206/MAX($E$6:E206),0),"")</f>
        <v/>
      </c>
    </row>
    <row r="207" customFormat="false" ht="15" hidden="false" customHeight="false" outlineLevel="0" collapsed="false">
      <c r="A207" s="9" t="str">
        <f aca="false">IF('📋 Trade Log'!B205&lt;&gt;"",'📋 Trade Log'!A205,"")</f>
        <v/>
      </c>
      <c r="B207" s="10" t="str">
        <f aca="false">IF('📋 Trade Log'!B205&lt;&gt;"",'📋 Trade Log'!B205,"")</f>
        <v/>
      </c>
      <c r="C207" s="12" t="str">
        <f aca="false">IF('📋 Trade Log'!L205&lt;&gt;"",'📋 Trade Log'!L205,"")</f>
        <v/>
      </c>
      <c r="D207" s="12" t="str">
        <f aca="false">IF(A207&lt;&gt;"",SUM($C$6:C207),"")</f>
        <v/>
      </c>
      <c r="E207" s="12" t="str">
        <f aca="false">IF(A207&lt;&gt;"",B$3+D207,"")</f>
        <v/>
      </c>
      <c r="F207" s="12" t="str">
        <f aca="false">IF(A207&lt;&gt;"",MIN(0,E207-MAX($E$6:E207)),"")</f>
        <v/>
      </c>
      <c r="G207" s="36" t="str">
        <f aca="false">IF(A207&lt;&gt;"",IFERROR(F207/MAX($E$6:E207),0),"")</f>
        <v/>
      </c>
    </row>
    <row r="208" customFormat="false" ht="15" hidden="false" customHeight="false" outlineLevel="0" collapsed="false">
      <c r="A208" s="4" t="str">
        <f aca="false">IF('📋 Trade Log'!B206&lt;&gt;"",'📋 Trade Log'!A206,"")</f>
        <v/>
      </c>
      <c r="B208" s="5" t="str">
        <f aca="false">IF('📋 Trade Log'!B206&lt;&gt;"",'📋 Trade Log'!B206,"")</f>
        <v/>
      </c>
      <c r="C208" s="7" t="str">
        <f aca="false">IF('📋 Trade Log'!L206&lt;&gt;"",'📋 Trade Log'!L206,"")</f>
        <v/>
      </c>
      <c r="D208" s="7" t="str">
        <f aca="false">IF(A208&lt;&gt;"",SUM($C$6:C208),"")</f>
        <v/>
      </c>
      <c r="E208" s="7" t="str">
        <f aca="false">IF(A208&lt;&gt;"",B$3+D208,"")</f>
        <v/>
      </c>
      <c r="F208" s="7" t="str">
        <f aca="false">IF(A208&lt;&gt;"",MIN(0,E208-MAX($E$6:E208)),"")</f>
        <v/>
      </c>
      <c r="G208" s="35" t="str">
        <f aca="false">IF(A208&lt;&gt;"",IFERROR(F208/MAX($E$6:E208),0),"")</f>
        <v/>
      </c>
    </row>
    <row r="209" customFormat="false" ht="15" hidden="false" customHeight="false" outlineLevel="0" collapsed="false">
      <c r="A209" s="9" t="str">
        <f aca="false">IF('📋 Trade Log'!B207&lt;&gt;"",'📋 Trade Log'!A207,"")</f>
        <v/>
      </c>
      <c r="B209" s="10" t="str">
        <f aca="false">IF('📋 Trade Log'!B207&lt;&gt;"",'📋 Trade Log'!B207,"")</f>
        <v/>
      </c>
      <c r="C209" s="12" t="str">
        <f aca="false">IF('📋 Trade Log'!L207&lt;&gt;"",'📋 Trade Log'!L207,"")</f>
        <v/>
      </c>
      <c r="D209" s="12" t="str">
        <f aca="false">IF(A209&lt;&gt;"",SUM($C$6:C209),"")</f>
        <v/>
      </c>
      <c r="E209" s="12" t="str">
        <f aca="false">IF(A209&lt;&gt;"",B$3+D209,"")</f>
        <v/>
      </c>
      <c r="F209" s="12" t="str">
        <f aca="false">IF(A209&lt;&gt;"",MIN(0,E209-MAX($E$6:E209)),"")</f>
        <v/>
      </c>
      <c r="G209" s="36" t="str">
        <f aca="false">IF(A209&lt;&gt;"",IFERROR(F209/MAX($E$6:E209),0),"")</f>
        <v/>
      </c>
    </row>
    <row r="210" customFormat="false" ht="15" hidden="false" customHeight="false" outlineLevel="0" collapsed="false">
      <c r="A210" s="4" t="str">
        <f aca="false">IF('📋 Trade Log'!B208&lt;&gt;"",'📋 Trade Log'!A208,"")</f>
        <v/>
      </c>
      <c r="B210" s="5" t="str">
        <f aca="false">IF('📋 Trade Log'!B208&lt;&gt;"",'📋 Trade Log'!B208,"")</f>
        <v/>
      </c>
      <c r="C210" s="7" t="str">
        <f aca="false">IF('📋 Trade Log'!L208&lt;&gt;"",'📋 Trade Log'!L208,"")</f>
        <v/>
      </c>
      <c r="D210" s="7" t="str">
        <f aca="false">IF(A210&lt;&gt;"",SUM($C$6:C210),"")</f>
        <v/>
      </c>
      <c r="E210" s="7" t="str">
        <f aca="false">IF(A210&lt;&gt;"",B$3+D210,"")</f>
        <v/>
      </c>
      <c r="F210" s="7" t="str">
        <f aca="false">IF(A210&lt;&gt;"",MIN(0,E210-MAX($E$6:E210)),"")</f>
        <v/>
      </c>
      <c r="G210" s="35" t="str">
        <f aca="false">IF(A210&lt;&gt;"",IFERROR(F210/MAX($E$6:E210),0),"")</f>
        <v/>
      </c>
    </row>
    <row r="211" customFormat="false" ht="15" hidden="false" customHeight="false" outlineLevel="0" collapsed="false">
      <c r="A211" s="9" t="str">
        <f aca="false">IF('📋 Trade Log'!B209&lt;&gt;"",'📋 Trade Log'!A209,"")</f>
        <v/>
      </c>
      <c r="B211" s="10" t="str">
        <f aca="false">IF('📋 Trade Log'!B209&lt;&gt;"",'📋 Trade Log'!B209,"")</f>
        <v/>
      </c>
      <c r="C211" s="12" t="str">
        <f aca="false">IF('📋 Trade Log'!L209&lt;&gt;"",'📋 Trade Log'!L209,"")</f>
        <v/>
      </c>
      <c r="D211" s="12" t="str">
        <f aca="false">IF(A211&lt;&gt;"",SUM($C$6:C211),"")</f>
        <v/>
      </c>
      <c r="E211" s="12" t="str">
        <f aca="false">IF(A211&lt;&gt;"",B$3+D211,"")</f>
        <v/>
      </c>
      <c r="F211" s="12" t="str">
        <f aca="false">IF(A211&lt;&gt;"",MIN(0,E211-MAX($E$6:E211)),"")</f>
        <v/>
      </c>
      <c r="G211" s="36" t="str">
        <f aca="false">IF(A211&lt;&gt;"",IFERROR(F211/MAX($E$6:E211),0),"")</f>
        <v/>
      </c>
    </row>
    <row r="212" customFormat="false" ht="15" hidden="false" customHeight="false" outlineLevel="0" collapsed="false">
      <c r="A212" s="4" t="str">
        <f aca="false">IF('📋 Trade Log'!B210&lt;&gt;"",'📋 Trade Log'!A210,"")</f>
        <v/>
      </c>
      <c r="B212" s="5" t="str">
        <f aca="false">IF('📋 Trade Log'!B210&lt;&gt;"",'📋 Trade Log'!B210,"")</f>
        <v/>
      </c>
      <c r="C212" s="7" t="str">
        <f aca="false">IF('📋 Trade Log'!L210&lt;&gt;"",'📋 Trade Log'!L210,"")</f>
        <v/>
      </c>
      <c r="D212" s="7" t="str">
        <f aca="false">IF(A212&lt;&gt;"",SUM($C$6:C212),"")</f>
        <v/>
      </c>
      <c r="E212" s="7" t="str">
        <f aca="false">IF(A212&lt;&gt;"",B$3+D212,"")</f>
        <v/>
      </c>
      <c r="F212" s="7" t="str">
        <f aca="false">IF(A212&lt;&gt;"",MIN(0,E212-MAX($E$6:E212)),"")</f>
        <v/>
      </c>
      <c r="G212" s="35" t="str">
        <f aca="false">IF(A212&lt;&gt;"",IFERROR(F212/MAX($E$6:E212),0),"")</f>
        <v/>
      </c>
    </row>
    <row r="213" customFormat="false" ht="15" hidden="false" customHeight="false" outlineLevel="0" collapsed="false">
      <c r="A213" s="9" t="str">
        <f aca="false">IF('📋 Trade Log'!B211&lt;&gt;"",'📋 Trade Log'!A211,"")</f>
        <v/>
      </c>
      <c r="B213" s="10" t="str">
        <f aca="false">IF('📋 Trade Log'!B211&lt;&gt;"",'📋 Trade Log'!B211,"")</f>
        <v/>
      </c>
      <c r="C213" s="12" t="str">
        <f aca="false">IF('📋 Trade Log'!L211&lt;&gt;"",'📋 Trade Log'!L211,"")</f>
        <v/>
      </c>
      <c r="D213" s="12" t="str">
        <f aca="false">IF(A213&lt;&gt;"",SUM($C$6:C213),"")</f>
        <v/>
      </c>
      <c r="E213" s="12" t="str">
        <f aca="false">IF(A213&lt;&gt;"",B$3+D213,"")</f>
        <v/>
      </c>
      <c r="F213" s="12" t="str">
        <f aca="false">IF(A213&lt;&gt;"",MIN(0,E213-MAX($E$6:E213)),"")</f>
        <v/>
      </c>
      <c r="G213" s="36" t="str">
        <f aca="false">IF(A213&lt;&gt;"",IFERROR(F213/MAX($E$6:E213),0),"")</f>
        <v/>
      </c>
    </row>
    <row r="214" customFormat="false" ht="15" hidden="false" customHeight="false" outlineLevel="0" collapsed="false">
      <c r="A214" s="4" t="str">
        <f aca="false">IF('📋 Trade Log'!B212&lt;&gt;"",'📋 Trade Log'!A212,"")</f>
        <v/>
      </c>
      <c r="B214" s="5" t="str">
        <f aca="false">IF('📋 Trade Log'!B212&lt;&gt;"",'📋 Trade Log'!B212,"")</f>
        <v/>
      </c>
      <c r="C214" s="7" t="str">
        <f aca="false">IF('📋 Trade Log'!L212&lt;&gt;"",'📋 Trade Log'!L212,"")</f>
        <v/>
      </c>
      <c r="D214" s="7" t="str">
        <f aca="false">IF(A214&lt;&gt;"",SUM($C$6:C214),"")</f>
        <v/>
      </c>
      <c r="E214" s="7" t="str">
        <f aca="false">IF(A214&lt;&gt;"",B$3+D214,"")</f>
        <v/>
      </c>
      <c r="F214" s="7" t="str">
        <f aca="false">IF(A214&lt;&gt;"",MIN(0,E214-MAX($E$6:E214)),"")</f>
        <v/>
      </c>
      <c r="G214" s="35" t="str">
        <f aca="false">IF(A214&lt;&gt;"",IFERROR(F214/MAX($E$6:E214),0),"")</f>
        <v/>
      </c>
    </row>
    <row r="215" customFormat="false" ht="15" hidden="false" customHeight="false" outlineLevel="0" collapsed="false">
      <c r="A215" s="9" t="str">
        <f aca="false">IF('📋 Trade Log'!B213&lt;&gt;"",'📋 Trade Log'!A213,"")</f>
        <v/>
      </c>
      <c r="B215" s="10" t="str">
        <f aca="false">IF('📋 Trade Log'!B213&lt;&gt;"",'📋 Trade Log'!B213,"")</f>
        <v/>
      </c>
      <c r="C215" s="12" t="str">
        <f aca="false">IF('📋 Trade Log'!L213&lt;&gt;"",'📋 Trade Log'!L213,"")</f>
        <v/>
      </c>
      <c r="D215" s="12" t="str">
        <f aca="false">IF(A215&lt;&gt;"",SUM($C$6:C215),"")</f>
        <v/>
      </c>
      <c r="E215" s="12" t="str">
        <f aca="false">IF(A215&lt;&gt;"",B$3+D215,"")</f>
        <v/>
      </c>
      <c r="F215" s="12" t="str">
        <f aca="false">IF(A215&lt;&gt;"",MIN(0,E215-MAX($E$6:E215)),"")</f>
        <v/>
      </c>
      <c r="G215" s="36" t="str">
        <f aca="false">IF(A215&lt;&gt;"",IFERROR(F215/MAX($E$6:E215),0),"")</f>
        <v/>
      </c>
    </row>
    <row r="216" customFormat="false" ht="15" hidden="false" customHeight="false" outlineLevel="0" collapsed="false">
      <c r="A216" s="4" t="str">
        <f aca="false">IF('📋 Trade Log'!B214&lt;&gt;"",'📋 Trade Log'!A214,"")</f>
        <v/>
      </c>
      <c r="B216" s="5" t="str">
        <f aca="false">IF('📋 Trade Log'!B214&lt;&gt;"",'📋 Trade Log'!B214,"")</f>
        <v/>
      </c>
      <c r="C216" s="7" t="str">
        <f aca="false">IF('📋 Trade Log'!L214&lt;&gt;"",'📋 Trade Log'!L214,"")</f>
        <v/>
      </c>
      <c r="D216" s="7" t="str">
        <f aca="false">IF(A216&lt;&gt;"",SUM($C$6:C216),"")</f>
        <v/>
      </c>
      <c r="E216" s="7" t="str">
        <f aca="false">IF(A216&lt;&gt;"",B$3+D216,"")</f>
        <v/>
      </c>
      <c r="F216" s="7" t="str">
        <f aca="false">IF(A216&lt;&gt;"",MIN(0,E216-MAX($E$6:E216)),"")</f>
        <v/>
      </c>
      <c r="G216" s="35" t="str">
        <f aca="false">IF(A216&lt;&gt;"",IFERROR(F216/MAX($E$6:E216),0),"")</f>
        <v/>
      </c>
    </row>
    <row r="217" customFormat="false" ht="15" hidden="false" customHeight="false" outlineLevel="0" collapsed="false">
      <c r="A217" s="9" t="str">
        <f aca="false">IF('📋 Trade Log'!B215&lt;&gt;"",'📋 Trade Log'!A215,"")</f>
        <v/>
      </c>
      <c r="B217" s="10" t="str">
        <f aca="false">IF('📋 Trade Log'!B215&lt;&gt;"",'📋 Trade Log'!B215,"")</f>
        <v/>
      </c>
      <c r="C217" s="12" t="str">
        <f aca="false">IF('📋 Trade Log'!L215&lt;&gt;"",'📋 Trade Log'!L215,"")</f>
        <v/>
      </c>
      <c r="D217" s="12" t="str">
        <f aca="false">IF(A217&lt;&gt;"",SUM($C$6:C217),"")</f>
        <v/>
      </c>
      <c r="E217" s="12" t="str">
        <f aca="false">IF(A217&lt;&gt;"",B$3+D217,"")</f>
        <v/>
      </c>
      <c r="F217" s="12" t="str">
        <f aca="false">IF(A217&lt;&gt;"",MIN(0,E217-MAX($E$6:E217)),"")</f>
        <v/>
      </c>
      <c r="G217" s="36" t="str">
        <f aca="false">IF(A217&lt;&gt;"",IFERROR(F217/MAX($E$6:E217),0),"")</f>
        <v/>
      </c>
    </row>
    <row r="218" customFormat="false" ht="15" hidden="false" customHeight="false" outlineLevel="0" collapsed="false">
      <c r="A218" s="4" t="str">
        <f aca="false">IF('📋 Trade Log'!B216&lt;&gt;"",'📋 Trade Log'!A216,"")</f>
        <v/>
      </c>
      <c r="B218" s="5" t="str">
        <f aca="false">IF('📋 Trade Log'!B216&lt;&gt;"",'📋 Trade Log'!B216,"")</f>
        <v/>
      </c>
      <c r="C218" s="7" t="str">
        <f aca="false">IF('📋 Trade Log'!L216&lt;&gt;"",'📋 Trade Log'!L216,"")</f>
        <v/>
      </c>
      <c r="D218" s="7" t="str">
        <f aca="false">IF(A218&lt;&gt;"",SUM($C$6:C218),"")</f>
        <v/>
      </c>
      <c r="E218" s="7" t="str">
        <f aca="false">IF(A218&lt;&gt;"",B$3+D218,"")</f>
        <v/>
      </c>
      <c r="F218" s="7" t="str">
        <f aca="false">IF(A218&lt;&gt;"",MIN(0,E218-MAX($E$6:E218)),"")</f>
        <v/>
      </c>
      <c r="G218" s="35" t="str">
        <f aca="false">IF(A218&lt;&gt;"",IFERROR(F218/MAX($E$6:E218),0),"")</f>
        <v/>
      </c>
    </row>
    <row r="219" customFormat="false" ht="15" hidden="false" customHeight="false" outlineLevel="0" collapsed="false">
      <c r="A219" s="9" t="str">
        <f aca="false">IF('📋 Trade Log'!B217&lt;&gt;"",'📋 Trade Log'!A217,"")</f>
        <v/>
      </c>
      <c r="B219" s="10" t="str">
        <f aca="false">IF('📋 Trade Log'!B217&lt;&gt;"",'📋 Trade Log'!B217,"")</f>
        <v/>
      </c>
      <c r="C219" s="12" t="str">
        <f aca="false">IF('📋 Trade Log'!L217&lt;&gt;"",'📋 Trade Log'!L217,"")</f>
        <v/>
      </c>
      <c r="D219" s="12" t="str">
        <f aca="false">IF(A219&lt;&gt;"",SUM($C$6:C219),"")</f>
        <v/>
      </c>
      <c r="E219" s="12" t="str">
        <f aca="false">IF(A219&lt;&gt;"",B$3+D219,"")</f>
        <v/>
      </c>
      <c r="F219" s="12" t="str">
        <f aca="false">IF(A219&lt;&gt;"",MIN(0,E219-MAX($E$6:E219)),"")</f>
        <v/>
      </c>
      <c r="G219" s="36" t="str">
        <f aca="false">IF(A219&lt;&gt;"",IFERROR(F219/MAX($E$6:E219),0),"")</f>
        <v/>
      </c>
    </row>
    <row r="220" customFormat="false" ht="15" hidden="false" customHeight="false" outlineLevel="0" collapsed="false">
      <c r="A220" s="4" t="str">
        <f aca="false">IF('📋 Trade Log'!B218&lt;&gt;"",'📋 Trade Log'!A218,"")</f>
        <v/>
      </c>
      <c r="B220" s="5" t="str">
        <f aca="false">IF('📋 Trade Log'!B218&lt;&gt;"",'📋 Trade Log'!B218,"")</f>
        <v/>
      </c>
      <c r="C220" s="7" t="str">
        <f aca="false">IF('📋 Trade Log'!L218&lt;&gt;"",'📋 Trade Log'!L218,"")</f>
        <v/>
      </c>
      <c r="D220" s="7" t="str">
        <f aca="false">IF(A220&lt;&gt;"",SUM($C$6:C220),"")</f>
        <v/>
      </c>
      <c r="E220" s="7" t="str">
        <f aca="false">IF(A220&lt;&gt;"",B$3+D220,"")</f>
        <v/>
      </c>
      <c r="F220" s="7" t="str">
        <f aca="false">IF(A220&lt;&gt;"",MIN(0,E220-MAX($E$6:E220)),"")</f>
        <v/>
      </c>
      <c r="G220" s="35" t="str">
        <f aca="false">IF(A220&lt;&gt;"",IFERROR(F220/MAX($E$6:E220),0),"")</f>
        <v/>
      </c>
    </row>
    <row r="221" customFormat="false" ht="15" hidden="false" customHeight="false" outlineLevel="0" collapsed="false">
      <c r="A221" s="9" t="str">
        <f aca="false">IF('📋 Trade Log'!B219&lt;&gt;"",'📋 Trade Log'!A219,"")</f>
        <v/>
      </c>
      <c r="B221" s="10" t="str">
        <f aca="false">IF('📋 Trade Log'!B219&lt;&gt;"",'📋 Trade Log'!B219,"")</f>
        <v/>
      </c>
      <c r="C221" s="12" t="str">
        <f aca="false">IF('📋 Trade Log'!L219&lt;&gt;"",'📋 Trade Log'!L219,"")</f>
        <v/>
      </c>
      <c r="D221" s="12" t="str">
        <f aca="false">IF(A221&lt;&gt;"",SUM($C$6:C221),"")</f>
        <v/>
      </c>
      <c r="E221" s="12" t="str">
        <f aca="false">IF(A221&lt;&gt;"",B$3+D221,"")</f>
        <v/>
      </c>
      <c r="F221" s="12" t="str">
        <f aca="false">IF(A221&lt;&gt;"",MIN(0,E221-MAX($E$6:E221)),"")</f>
        <v/>
      </c>
      <c r="G221" s="36" t="str">
        <f aca="false">IF(A221&lt;&gt;"",IFERROR(F221/MAX($E$6:E221),0),"")</f>
        <v/>
      </c>
    </row>
    <row r="222" customFormat="false" ht="15" hidden="false" customHeight="false" outlineLevel="0" collapsed="false">
      <c r="A222" s="4" t="str">
        <f aca="false">IF('📋 Trade Log'!B220&lt;&gt;"",'📋 Trade Log'!A220,"")</f>
        <v/>
      </c>
      <c r="B222" s="5" t="str">
        <f aca="false">IF('📋 Trade Log'!B220&lt;&gt;"",'📋 Trade Log'!B220,"")</f>
        <v/>
      </c>
      <c r="C222" s="7" t="str">
        <f aca="false">IF('📋 Trade Log'!L220&lt;&gt;"",'📋 Trade Log'!L220,"")</f>
        <v/>
      </c>
      <c r="D222" s="7" t="str">
        <f aca="false">IF(A222&lt;&gt;"",SUM($C$6:C222),"")</f>
        <v/>
      </c>
      <c r="E222" s="7" t="str">
        <f aca="false">IF(A222&lt;&gt;"",B$3+D222,"")</f>
        <v/>
      </c>
      <c r="F222" s="7" t="str">
        <f aca="false">IF(A222&lt;&gt;"",MIN(0,E222-MAX($E$6:E222)),"")</f>
        <v/>
      </c>
      <c r="G222" s="35" t="str">
        <f aca="false">IF(A222&lt;&gt;"",IFERROR(F222/MAX($E$6:E222),0),"")</f>
        <v/>
      </c>
    </row>
    <row r="223" customFormat="false" ht="15" hidden="false" customHeight="false" outlineLevel="0" collapsed="false">
      <c r="A223" s="9" t="str">
        <f aca="false">IF('📋 Trade Log'!B221&lt;&gt;"",'📋 Trade Log'!A221,"")</f>
        <v/>
      </c>
      <c r="B223" s="10" t="str">
        <f aca="false">IF('📋 Trade Log'!B221&lt;&gt;"",'📋 Trade Log'!B221,"")</f>
        <v/>
      </c>
      <c r="C223" s="12" t="str">
        <f aca="false">IF('📋 Trade Log'!L221&lt;&gt;"",'📋 Trade Log'!L221,"")</f>
        <v/>
      </c>
      <c r="D223" s="12" t="str">
        <f aca="false">IF(A223&lt;&gt;"",SUM($C$6:C223),"")</f>
        <v/>
      </c>
      <c r="E223" s="12" t="str">
        <f aca="false">IF(A223&lt;&gt;"",B$3+D223,"")</f>
        <v/>
      </c>
      <c r="F223" s="12" t="str">
        <f aca="false">IF(A223&lt;&gt;"",MIN(0,E223-MAX($E$6:E223)),"")</f>
        <v/>
      </c>
      <c r="G223" s="36" t="str">
        <f aca="false">IF(A223&lt;&gt;"",IFERROR(F223/MAX($E$6:E223),0),"")</f>
        <v/>
      </c>
    </row>
    <row r="224" customFormat="false" ht="15" hidden="false" customHeight="false" outlineLevel="0" collapsed="false">
      <c r="A224" s="4" t="str">
        <f aca="false">IF('📋 Trade Log'!B222&lt;&gt;"",'📋 Trade Log'!A222,"")</f>
        <v/>
      </c>
      <c r="B224" s="5" t="str">
        <f aca="false">IF('📋 Trade Log'!B222&lt;&gt;"",'📋 Trade Log'!B222,"")</f>
        <v/>
      </c>
      <c r="C224" s="7" t="str">
        <f aca="false">IF('📋 Trade Log'!L222&lt;&gt;"",'📋 Trade Log'!L222,"")</f>
        <v/>
      </c>
      <c r="D224" s="7" t="str">
        <f aca="false">IF(A224&lt;&gt;"",SUM($C$6:C224),"")</f>
        <v/>
      </c>
      <c r="E224" s="7" t="str">
        <f aca="false">IF(A224&lt;&gt;"",B$3+D224,"")</f>
        <v/>
      </c>
      <c r="F224" s="7" t="str">
        <f aca="false">IF(A224&lt;&gt;"",MIN(0,E224-MAX($E$6:E224)),"")</f>
        <v/>
      </c>
      <c r="G224" s="35" t="str">
        <f aca="false">IF(A224&lt;&gt;"",IFERROR(F224/MAX($E$6:E224),0),"")</f>
        <v/>
      </c>
    </row>
    <row r="225" customFormat="false" ht="15" hidden="false" customHeight="false" outlineLevel="0" collapsed="false">
      <c r="A225" s="9" t="str">
        <f aca="false">IF('📋 Trade Log'!B223&lt;&gt;"",'📋 Trade Log'!A223,"")</f>
        <v/>
      </c>
      <c r="B225" s="10" t="str">
        <f aca="false">IF('📋 Trade Log'!B223&lt;&gt;"",'📋 Trade Log'!B223,"")</f>
        <v/>
      </c>
      <c r="C225" s="12" t="str">
        <f aca="false">IF('📋 Trade Log'!L223&lt;&gt;"",'📋 Trade Log'!L223,"")</f>
        <v/>
      </c>
      <c r="D225" s="12" t="str">
        <f aca="false">IF(A225&lt;&gt;"",SUM($C$6:C225),"")</f>
        <v/>
      </c>
      <c r="E225" s="12" t="str">
        <f aca="false">IF(A225&lt;&gt;"",B$3+D225,"")</f>
        <v/>
      </c>
      <c r="F225" s="12" t="str">
        <f aca="false">IF(A225&lt;&gt;"",MIN(0,E225-MAX($E$6:E225)),"")</f>
        <v/>
      </c>
      <c r="G225" s="36" t="str">
        <f aca="false">IF(A225&lt;&gt;"",IFERROR(F225/MAX($E$6:E225),0),"")</f>
        <v/>
      </c>
    </row>
    <row r="226" customFormat="false" ht="15" hidden="false" customHeight="false" outlineLevel="0" collapsed="false">
      <c r="A226" s="4" t="str">
        <f aca="false">IF('📋 Trade Log'!B224&lt;&gt;"",'📋 Trade Log'!A224,"")</f>
        <v/>
      </c>
      <c r="B226" s="5" t="str">
        <f aca="false">IF('📋 Trade Log'!B224&lt;&gt;"",'📋 Trade Log'!B224,"")</f>
        <v/>
      </c>
      <c r="C226" s="7" t="str">
        <f aca="false">IF('📋 Trade Log'!L224&lt;&gt;"",'📋 Trade Log'!L224,"")</f>
        <v/>
      </c>
      <c r="D226" s="7" t="str">
        <f aca="false">IF(A226&lt;&gt;"",SUM($C$6:C226),"")</f>
        <v/>
      </c>
      <c r="E226" s="7" t="str">
        <f aca="false">IF(A226&lt;&gt;"",B$3+D226,"")</f>
        <v/>
      </c>
      <c r="F226" s="7" t="str">
        <f aca="false">IF(A226&lt;&gt;"",MIN(0,E226-MAX($E$6:E226)),"")</f>
        <v/>
      </c>
      <c r="G226" s="35" t="str">
        <f aca="false">IF(A226&lt;&gt;"",IFERROR(F226/MAX($E$6:E226),0),"")</f>
        <v/>
      </c>
    </row>
    <row r="227" customFormat="false" ht="15" hidden="false" customHeight="false" outlineLevel="0" collapsed="false">
      <c r="A227" s="9" t="str">
        <f aca="false">IF('📋 Trade Log'!B225&lt;&gt;"",'📋 Trade Log'!A225,"")</f>
        <v/>
      </c>
      <c r="B227" s="10" t="str">
        <f aca="false">IF('📋 Trade Log'!B225&lt;&gt;"",'📋 Trade Log'!B225,"")</f>
        <v/>
      </c>
      <c r="C227" s="12" t="str">
        <f aca="false">IF('📋 Trade Log'!L225&lt;&gt;"",'📋 Trade Log'!L225,"")</f>
        <v/>
      </c>
      <c r="D227" s="12" t="str">
        <f aca="false">IF(A227&lt;&gt;"",SUM($C$6:C227),"")</f>
        <v/>
      </c>
      <c r="E227" s="12" t="str">
        <f aca="false">IF(A227&lt;&gt;"",B$3+D227,"")</f>
        <v/>
      </c>
      <c r="F227" s="12" t="str">
        <f aca="false">IF(A227&lt;&gt;"",MIN(0,E227-MAX($E$6:E227)),"")</f>
        <v/>
      </c>
      <c r="G227" s="36" t="str">
        <f aca="false">IF(A227&lt;&gt;"",IFERROR(F227/MAX($E$6:E227),0),"")</f>
        <v/>
      </c>
    </row>
    <row r="228" customFormat="false" ht="15" hidden="false" customHeight="false" outlineLevel="0" collapsed="false">
      <c r="A228" s="4" t="str">
        <f aca="false">IF('📋 Trade Log'!B226&lt;&gt;"",'📋 Trade Log'!A226,"")</f>
        <v/>
      </c>
      <c r="B228" s="5" t="str">
        <f aca="false">IF('📋 Trade Log'!B226&lt;&gt;"",'📋 Trade Log'!B226,"")</f>
        <v/>
      </c>
      <c r="C228" s="7" t="str">
        <f aca="false">IF('📋 Trade Log'!L226&lt;&gt;"",'📋 Trade Log'!L226,"")</f>
        <v/>
      </c>
      <c r="D228" s="7" t="str">
        <f aca="false">IF(A228&lt;&gt;"",SUM($C$6:C228),"")</f>
        <v/>
      </c>
      <c r="E228" s="7" t="str">
        <f aca="false">IF(A228&lt;&gt;"",B$3+D228,"")</f>
        <v/>
      </c>
      <c r="F228" s="7" t="str">
        <f aca="false">IF(A228&lt;&gt;"",MIN(0,E228-MAX($E$6:E228)),"")</f>
        <v/>
      </c>
      <c r="G228" s="35" t="str">
        <f aca="false">IF(A228&lt;&gt;"",IFERROR(F228/MAX($E$6:E228),0),"")</f>
        <v/>
      </c>
    </row>
    <row r="229" customFormat="false" ht="15" hidden="false" customHeight="false" outlineLevel="0" collapsed="false">
      <c r="A229" s="9" t="str">
        <f aca="false">IF('📋 Trade Log'!B227&lt;&gt;"",'📋 Trade Log'!A227,"")</f>
        <v/>
      </c>
      <c r="B229" s="10" t="str">
        <f aca="false">IF('📋 Trade Log'!B227&lt;&gt;"",'📋 Trade Log'!B227,"")</f>
        <v/>
      </c>
      <c r="C229" s="12" t="str">
        <f aca="false">IF('📋 Trade Log'!L227&lt;&gt;"",'📋 Trade Log'!L227,"")</f>
        <v/>
      </c>
      <c r="D229" s="12" t="str">
        <f aca="false">IF(A229&lt;&gt;"",SUM($C$6:C229),"")</f>
        <v/>
      </c>
      <c r="E229" s="12" t="str">
        <f aca="false">IF(A229&lt;&gt;"",B$3+D229,"")</f>
        <v/>
      </c>
      <c r="F229" s="12" t="str">
        <f aca="false">IF(A229&lt;&gt;"",MIN(0,E229-MAX($E$6:E229)),"")</f>
        <v/>
      </c>
      <c r="G229" s="36" t="str">
        <f aca="false">IF(A229&lt;&gt;"",IFERROR(F229/MAX($E$6:E229),0),"")</f>
        <v/>
      </c>
    </row>
    <row r="230" customFormat="false" ht="15" hidden="false" customHeight="false" outlineLevel="0" collapsed="false">
      <c r="A230" s="4" t="str">
        <f aca="false">IF('📋 Trade Log'!B228&lt;&gt;"",'📋 Trade Log'!A228,"")</f>
        <v/>
      </c>
      <c r="B230" s="5" t="str">
        <f aca="false">IF('📋 Trade Log'!B228&lt;&gt;"",'📋 Trade Log'!B228,"")</f>
        <v/>
      </c>
      <c r="C230" s="7" t="str">
        <f aca="false">IF('📋 Trade Log'!L228&lt;&gt;"",'📋 Trade Log'!L228,"")</f>
        <v/>
      </c>
      <c r="D230" s="7" t="str">
        <f aca="false">IF(A230&lt;&gt;"",SUM($C$6:C230),"")</f>
        <v/>
      </c>
      <c r="E230" s="7" t="str">
        <f aca="false">IF(A230&lt;&gt;"",B$3+D230,"")</f>
        <v/>
      </c>
      <c r="F230" s="7" t="str">
        <f aca="false">IF(A230&lt;&gt;"",MIN(0,E230-MAX($E$6:E230)),"")</f>
        <v/>
      </c>
      <c r="G230" s="35" t="str">
        <f aca="false">IF(A230&lt;&gt;"",IFERROR(F230/MAX($E$6:E230),0),"")</f>
        <v/>
      </c>
    </row>
    <row r="231" customFormat="false" ht="15" hidden="false" customHeight="false" outlineLevel="0" collapsed="false">
      <c r="A231" s="9" t="str">
        <f aca="false">IF('📋 Trade Log'!B229&lt;&gt;"",'📋 Trade Log'!A229,"")</f>
        <v/>
      </c>
      <c r="B231" s="10" t="str">
        <f aca="false">IF('📋 Trade Log'!B229&lt;&gt;"",'📋 Trade Log'!B229,"")</f>
        <v/>
      </c>
      <c r="C231" s="12" t="str">
        <f aca="false">IF('📋 Trade Log'!L229&lt;&gt;"",'📋 Trade Log'!L229,"")</f>
        <v/>
      </c>
      <c r="D231" s="12" t="str">
        <f aca="false">IF(A231&lt;&gt;"",SUM($C$6:C231),"")</f>
        <v/>
      </c>
      <c r="E231" s="12" t="str">
        <f aca="false">IF(A231&lt;&gt;"",B$3+D231,"")</f>
        <v/>
      </c>
      <c r="F231" s="12" t="str">
        <f aca="false">IF(A231&lt;&gt;"",MIN(0,E231-MAX($E$6:E231)),"")</f>
        <v/>
      </c>
      <c r="G231" s="36" t="str">
        <f aca="false">IF(A231&lt;&gt;"",IFERROR(F231/MAX($E$6:E231),0),"")</f>
        <v/>
      </c>
    </row>
    <row r="232" customFormat="false" ht="15" hidden="false" customHeight="false" outlineLevel="0" collapsed="false">
      <c r="A232" s="4" t="str">
        <f aca="false">IF('📋 Trade Log'!B230&lt;&gt;"",'📋 Trade Log'!A230,"")</f>
        <v/>
      </c>
      <c r="B232" s="5" t="str">
        <f aca="false">IF('📋 Trade Log'!B230&lt;&gt;"",'📋 Trade Log'!B230,"")</f>
        <v/>
      </c>
      <c r="C232" s="7" t="str">
        <f aca="false">IF('📋 Trade Log'!L230&lt;&gt;"",'📋 Trade Log'!L230,"")</f>
        <v/>
      </c>
      <c r="D232" s="7" t="str">
        <f aca="false">IF(A232&lt;&gt;"",SUM($C$6:C232),"")</f>
        <v/>
      </c>
      <c r="E232" s="7" t="str">
        <f aca="false">IF(A232&lt;&gt;"",B$3+D232,"")</f>
        <v/>
      </c>
      <c r="F232" s="7" t="str">
        <f aca="false">IF(A232&lt;&gt;"",MIN(0,E232-MAX($E$6:E232)),"")</f>
        <v/>
      </c>
      <c r="G232" s="35" t="str">
        <f aca="false">IF(A232&lt;&gt;"",IFERROR(F232/MAX($E$6:E232),0),"")</f>
        <v/>
      </c>
    </row>
    <row r="233" customFormat="false" ht="15" hidden="false" customHeight="false" outlineLevel="0" collapsed="false">
      <c r="A233" s="9" t="str">
        <f aca="false">IF('📋 Trade Log'!B231&lt;&gt;"",'📋 Trade Log'!A231,"")</f>
        <v/>
      </c>
      <c r="B233" s="10" t="str">
        <f aca="false">IF('📋 Trade Log'!B231&lt;&gt;"",'📋 Trade Log'!B231,"")</f>
        <v/>
      </c>
      <c r="C233" s="12" t="str">
        <f aca="false">IF('📋 Trade Log'!L231&lt;&gt;"",'📋 Trade Log'!L231,"")</f>
        <v/>
      </c>
      <c r="D233" s="12" t="str">
        <f aca="false">IF(A233&lt;&gt;"",SUM($C$6:C233),"")</f>
        <v/>
      </c>
      <c r="E233" s="12" t="str">
        <f aca="false">IF(A233&lt;&gt;"",B$3+D233,"")</f>
        <v/>
      </c>
      <c r="F233" s="12" t="str">
        <f aca="false">IF(A233&lt;&gt;"",MIN(0,E233-MAX($E$6:E233)),"")</f>
        <v/>
      </c>
      <c r="G233" s="36" t="str">
        <f aca="false">IF(A233&lt;&gt;"",IFERROR(F233/MAX($E$6:E233),0),"")</f>
        <v/>
      </c>
    </row>
    <row r="234" customFormat="false" ht="15" hidden="false" customHeight="false" outlineLevel="0" collapsed="false">
      <c r="A234" s="4" t="str">
        <f aca="false">IF('📋 Trade Log'!B232&lt;&gt;"",'📋 Trade Log'!A232,"")</f>
        <v/>
      </c>
      <c r="B234" s="5" t="str">
        <f aca="false">IF('📋 Trade Log'!B232&lt;&gt;"",'📋 Trade Log'!B232,"")</f>
        <v/>
      </c>
      <c r="C234" s="7" t="str">
        <f aca="false">IF('📋 Trade Log'!L232&lt;&gt;"",'📋 Trade Log'!L232,"")</f>
        <v/>
      </c>
      <c r="D234" s="7" t="str">
        <f aca="false">IF(A234&lt;&gt;"",SUM($C$6:C234),"")</f>
        <v/>
      </c>
      <c r="E234" s="7" t="str">
        <f aca="false">IF(A234&lt;&gt;"",B$3+D234,"")</f>
        <v/>
      </c>
      <c r="F234" s="7" t="str">
        <f aca="false">IF(A234&lt;&gt;"",MIN(0,E234-MAX($E$6:E234)),"")</f>
        <v/>
      </c>
      <c r="G234" s="35" t="str">
        <f aca="false">IF(A234&lt;&gt;"",IFERROR(F234/MAX($E$6:E234),0),"")</f>
        <v/>
      </c>
    </row>
    <row r="235" customFormat="false" ht="15" hidden="false" customHeight="false" outlineLevel="0" collapsed="false">
      <c r="A235" s="9" t="str">
        <f aca="false">IF('📋 Trade Log'!B233&lt;&gt;"",'📋 Trade Log'!A233,"")</f>
        <v/>
      </c>
      <c r="B235" s="10" t="str">
        <f aca="false">IF('📋 Trade Log'!B233&lt;&gt;"",'📋 Trade Log'!B233,"")</f>
        <v/>
      </c>
      <c r="C235" s="12" t="str">
        <f aca="false">IF('📋 Trade Log'!L233&lt;&gt;"",'📋 Trade Log'!L233,"")</f>
        <v/>
      </c>
      <c r="D235" s="12" t="str">
        <f aca="false">IF(A235&lt;&gt;"",SUM($C$6:C235),"")</f>
        <v/>
      </c>
      <c r="E235" s="12" t="str">
        <f aca="false">IF(A235&lt;&gt;"",B$3+D235,"")</f>
        <v/>
      </c>
      <c r="F235" s="12" t="str">
        <f aca="false">IF(A235&lt;&gt;"",MIN(0,E235-MAX($E$6:E235)),"")</f>
        <v/>
      </c>
      <c r="G235" s="36" t="str">
        <f aca="false">IF(A235&lt;&gt;"",IFERROR(F235/MAX($E$6:E235),0),"")</f>
        <v/>
      </c>
    </row>
    <row r="236" customFormat="false" ht="15" hidden="false" customHeight="false" outlineLevel="0" collapsed="false">
      <c r="A236" s="4" t="str">
        <f aca="false">IF('📋 Trade Log'!B234&lt;&gt;"",'📋 Trade Log'!A234,"")</f>
        <v/>
      </c>
      <c r="B236" s="5" t="str">
        <f aca="false">IF('📋 Trade Log'!B234&lt;&gt;"",'📋 Trade Log'!B234,"")</f>
        <v/>
      </c>
      <c r="C236" s="7" t="str">
        <f aca="false">IF('📋 Trade Log'!L234&lt;&gt;"",'📋 Trade Log'!L234,"")</f>
        <v/>
      </c>
      <c r="D236" s="7" t="str">
        <f aca="false">IF(A236&lt;&gt;"",SUM($C$6:C236),"")</f>
        <v/>
      </c>
      <c r="E236" s="7" t="str">
        <f aca="false">IF(A236&lt;&gt;"",B$3+D236,"")</f>
        <v/>
      </c>
      <c r="F236" s="7" t="str">
        <f aca="false">IF(A236&lt;&gt;"",MIN(0,E236-MAX($E$6:E236)),"")</f>
        <v/>
      </c>
      <c r="G236" s="35" t="str">
        <f aca="false">IF(A236&lt;&gt;"",IFERROR(F236/MAX($E$6:E236),0),"")</f>
        <v/>
      </c>
    </row>
    <row r="237" customFormat="false" ht="15" hidden="false" customHeight="false" outlineLevel="0" collapsed="false">
      <c r="A237" s="9" t="str">
        <f aca="false">IF('📋 Trade Log'!B235&lt;&gt;"",'📋 Trade Log'!A235,"")</f>
        <v/>
      </c>
      <c r="B237" s="10" t="str">
        <f aca="false">IF('📋 Trade Log'!B235&lt;&gt;"",'📋 Trade Log'!B235,"")</f>
        <v/>
      </c>
      <c r="C237" s="12" t="str">
        <f aca="false">IF('📋 Trade Log'!L235&lt;&gt;"",'📋 Trade Log'!L235,"")</f>
        <v/>
      </c>
      <c r="D237" s="12" t="str">
        <f aca="false">IF(A237&lt;&gt;"",SUM($C$6:C237),"")</f>
        <v/>
      </c>
      <c r="E237" s="12" t="str">
        <f aca="false">IF(A237&lt;&gt;"",B$3+D237,"")</f>
        <v/>
      </c>
      <c r="F237" s="12" t="str">
        <f aca="false">IF(A237&lt;&gt;"",MIN(0,E237-MAX($E$6:E237)),"")</f>
        <v/>
      </c>
      <c r="G237" s="36" t="str">
        <f aca="false">IF(A237&lt;&gt;"",IFERROR(F237/MAX($E$6:E237),0),"")</f>
        <v/>
      </c>
    </row>
    <row r="238" customFormat="false" ht="15" hidden="false" customHeight="false" outlineLevel="0" collapsed="false">
      <c r="A238" s="4" t="str">
        <f aca="false">IF('📋 Trade Log'!B236&lt;&gt;"",'📋 Trade Log'!A236,"")</f>
        <v/>
      </c>
      <c r="B238" s="5" t="str">
        <f aca="false">IF('📋 Trade Log'!B236&lt;&gt;"",'📋 Trade Log'!B236,"")</f>
        <v/>
      </c>
      <c r="C238" s="7" t="str">
        <f aca="false">IF('📋 Trade Log'!L236&lt;&gt;"",'📋 Trade Log'!L236,"")</f>
        <v/>
      </c>
      <c r="D238" s="7" t="str">
        <f aca="false">IF(A238&lt;&gt;"",SUM($C$6:C238),"")</f>
        <v/>
      </c>
      <c r="E238" s="7" t="str">
        <f aca="false">IF(A238&lt;&gt;"",B$3+D238,"")</f>
        <v/>
      </c>
      <c r="F238" s="7" t="str">
        <f aca="false">IF(A238&lt;&gt;"",MIN(0,E238-MAX($E$6:E238)),"")</f>
        <v/>
      </c>
      <c r="G238" s="35" t="str">
        <f aca="false">IF(A238&lt;&gt;"",IFERROR(F238/MAX($E$6:E238),0),"")</f>
        <v/>
      </c>
    </row>
    <row r="239" customFormat="false" ht="15" hidden="false" customHeight="false" outlineLevel="0" collapsed="false">
      <c r="A239" s="9" t="str">
        <f aca="false">IF('📋 Trade Log'!B237&lt;&gt;"",'📋 Trade Log'!A237,"")</f>
        <v/>
      </c>
      <c r="B239" s="10" t="str">
        <f aca="false">IF('📋 Trade Log'!B237&lt;&gt;"",'📋 Trade Log'!B237,"")</f>
        <v/>
      </c>
      <c r="C239" s="12" t="str">
        <f aca="false">IF('📋 Trade Log'!L237&lt;&gt;"",'📋 Trade Log'!L237,"")</f>
        <v/>
      </c>
      <c r="D239" s="12" t="str">
        <f aca="false">IF(A239&lt;&gt;"",SUM($C$6:C239),"")</f>
        <v/>
      </c>
      <c r="E239" s="12" t="str">
        <f aca="false">IF(A239&lt;&gt;"",B$3+D239,"")</f>
        <v/>
      </c>
      <c r="F239" s="12" t="str">
        <f aca="false">IF(A239&lt;&gt;"",MIN(0,E239-MAX($E$6:E239)),"")</f>
        <v/>
      </c>
      <c r="G239" s="36" t="str">
        <f aca="false">IF(A239&lt;&gt;"",IFERROR(F239/MAX($E$6:E239),0),"")</f>
        <v/>
      </c>
    </row>
    <row r="240" customFormat="false" ht="15" hidden="false" customHeight="false" outlineLevel="0" collapsed="false">
      <c r="A240" s="4" t="str">
        <f aca="false">IF('📋 Trade Log'!B238&lt;&gt;"",'📋 Trade Log'!A238,"")</f>
        <v/>
      </c>
      <c r="B240" s="5" t="str">
        <f aca="false">IF('📋 Trade Log'!B238&lt;&gt;"",'📋 Trade Log'!B238,"")</f>
        <v/>
      </c>
      <c r="C240" s="7" t="str">
        <f aca="false">IF('📋 Trade Log'!L238&lt;&gt;"",'📋 Trade Log'!L238,"")</f>
        <v/>
      </c>
      <c r="D240" s="7" t="str">
        <f aca="false">IF(A240&lt;&gt;"",SUM($C$6:C240),"")</f>
        <v/>
      </c>
      <c r="E240" s="7" t="str">
        <f aca="false">IF(A240&lt;&gt;"",B$3+D240,"")</f>
        <v/>
      </c>
      <c r="F240" s="7" t="str">
        <f aca="false">IF(A240&lt;&gt;"",MIN(0,E240-MAX($E$6:E240)),"")</f>
        <v/>
      </c>
      <c r="G240" s="35" t="str">
        <f aca="false">IF(A240&lt;&gt;"",IFERROR(F240/MAX($E$6:E240),0),"")</f>
        <v/>
      </c>
    </row>
    <row r="241" customFormat="false" ht="15" hidden="false" customHeight="false" outlineLevel="0" collapsed="false">
      <c r="A241" s="9" t="str">
        <f aca="false">IF('📋 Trade Log'!B239&lt;&gt;"",'📋 Trade Log'!A239,"")</f>
        <v/>
      </c>
      <c r="B241" s="10" t="str">
        <f aca="false">IF('📋 Trade Log'!B239&lt;&gt;"",'📋 Trade Log'!B239,"")</f>
        <v/>
      </c>
      <c r="C241" s="12" t="str">
        <f aca="false">IF('📋 Trade Log'!L239&lt;&gt;"",'📋 Trade Log'!L239,"")</f>
        <v/>
      </c>
      <c r="D241" s="12" t="str">
        <f aca="false">IF(A241&lt;&gt;"",SUM($C$6:C241),"")</f>
        <v/>
      </c>
      <c r="E241" s="12" t="str">
        <f aca="false">IF(A241&lt;&gt;"",B$3+D241,"")</f>
        <v/>
      </c>
      <c r="F241" s="12" t="str">
        <f aca="false">IF(A241&lt;&gt;"",MIN(0,E241-MAX($E$6:E241)),"")</f>
        <v/>
      </c>
      <c r="G241" s="36" t="str">
        <f aca="false">IF(A241&lt;&gt;"",IFERROR(F241/MAX($E$6:E241),0),"")</f>
        <v/>
      </c>
    </row>
    <row r="242" customFormat="false" ht="15" hidden="false" customHeight="false" outlineLevel="0" collapsed="false">
      <c r="A242" s="4" t="str">
        <f aca="false">IF('📋 Trade Log'!B240&lt;&gt;"",'📋 Trade Log'!A240,"")</f>
        <v/>
      </c>
      <c r="B242" s="5" t="str">
        <f aca="false">IF('📋 Trade Log'!B240&lt;&gt;"",'📋 Trade Log'!B240,"")</f>
        <v/>
      </c>
      <c r="C242" s="7" t="str">
        <f aca="false">IF('📋 Trade Log'!L240&lt;&gt;"",'📋 Trade Log'!L240,"")</f>
        <v/>
      </c>
      <c r="D242" s="7" t="str">
        <f aca="false">IF(A242&lt;&gt;"",SUM($C$6:C242),"")</f>
        <v/>
      </c>
      <c r="E242" s="7" t="str">
        <f aca="false">IF(A242&lt;&gt;"",B$3+D242,"")</f>
        <v/>
      </c>
      <c r="F242" s="7" t="str">
        <f aca="false">IF(A242&lt;&gt;"",MIN(0,E242-MAX($E$6:E242)),"")</f>
        <v/>
      </c>
      <c r="G242" s="35" t="str">
        <f aca="false">IF(A242&lt;&gt;"",IFERROR(F242/MAX($E$6:E242),0),"")</f>
        <v/>
      </c>
    </row>
    <row r="243" customFormat="false" ht="15" hidden="false" customHeight="false" outlineLevel="0" collapsed="false">
      <c r="A243" s="9" t="str">
        <f aca="false">IF('📋 Trade Log'!B241&lt;&gt;"",'📋 Trade Log'!A241,"")</f>
        <v/>
      </c>
      <c r="B243" s="10" t="str">
        <f aca="false">IF('📋 Trade Log'!B241&lt;&gt;"",'📋 Trade Log'!B241,"")</f>
        <v/>
      </c>
      <c r="C243" s="12" t="str">
        <f aca="false">IF('📋 Trade Log'!L241&lt;&gt;"",'📋 Trade Log'!L241,"")</f>
        <v/>
      </c>
      <c r="D243" s="12" t="str">
        <f aca="false">IF(A243&lt;&gt;"",SUM($C$6:C243),"")</f>
        <v/>
      </c>
      <c r="E243" s="12" t="str">
        <f aca="false">IF(A243&lt;&gt;"",B$3+D243,"")</f>
        <v/>
      </c>
      <c r="F243" s="12" t="str">
        <f aca="false">IF(A243&lt;&gt;"",MIN(0,E243-MAX($E$6:E243)),"")</f>
        <v/>
      </c>
      <c r="G243" s="36" t="str">
        <f aca="false">IF(A243&lt;&gt;"",IFERROR(F243/MAX($E$6:E243),0),"")</f>
        <v/>
      </c>
    </row>
    <row r="244" customFormat="false" ht="15" hidden="false" customHeight="false" outlineLevel="0" collapsed="false">
      <c r="A244" s="4" t="str">
        <f aca="false">IF('📋 Trade Log'!B242&lt;&gt;"",'📋 Trade Log'!A242,"")</f>
        <v/>
      </c>
      <c r="B244" s="5" t="str">
        <f aca="false">IF('📋 Trade Log'!B242&lt;&gt;"",'📋 Trade Log'!B242,"")</f>
        <v/>
      </c>
      <c r="C244" s="7" t="str">
        <f aca="false">IF('📋 Trade Log'!L242&lt;&gt;"",'📋 Trade Log'!L242,"")</f>
        <v/>
      </c>
      <c r="D244" s="7" t="str">
        <f aca="false">IF(A244&lt;&gt;"",SUM($C$6:C244),"")</f>
        <v/>
      </c>
      <c r="E244" s="7" t="str">
        <f aca="false">IF(A244&lt;&gt;"",B$3+D244,"")</f>
        <v/>
      </c>
      <c r="F244" s="7" t="str">
        <f aca="false">IF(A244&lt;&gt;"",MIN(0,E244-MAX($E$6:E244)),"")</f>
        <v/>
      </c>
      <c r="G244" s="35" t="str">
        <f aca="false">IF(A244&lt;&gt;"",IFERROR(F244/MAX($E$6:E244),0),"")</f>
        <v/>
      </c>
    </row>
    <row r="245" customFormat="false" ht="15" hidden="false" customHeight="false" outlineLevel="0" collapsed="false">
      <c r="A245" s="9" t="str">
        <f aca="false">IF('📋 Trade Log'!B243&lt;&gt;"",'📋 Trade Log'!A243,"")</f>
        <v/>
      </c>
      <c r="B245" s="10" t="str">
        <f aca="false">IF('📋 Trade Log'!B243&lt;&gt;"",'📋 Trade Log'!B243,"")</f>
        <v/>
      </c>
      <c r="C245" s="12" t="str">
        <f aca="false">IF('📋 Trade Log'!L243&lt;&gt;"",'📋 Trade Log'!L243,"")</f>
        <v/>
      </c>
      <c r="D245" s="12" t="str">
        <f aca="false">IF(A245&lt;&gt;"",SUM($C$6:C245),"")</f>
        <v/>
      </c>
      <c r="E245" s="12" t="str">
        <f aca="false">IF(A245&lt;&gt;"",B$3+D245,"")</f>
        <v/>
      </c>
      <c r="F245" s="12" t="str">
        <f aca="false">IF(A245&lt;&gt;"",MIN(0,E245-MAX($E$6:E245)),"")</f>
        <v/>
      </c>
      <c r="G245" s="36" t="str">
        <f aca="false">IF(A245&lt;&gt;"",IFERROR(F245/MAX($E$6:E245),0),"")</f>
        <v/>
      </c>
    </row>
    <row r="246" customFormat="false" ht="15" hidden="false" customHeight="false" outlineLevel="0" collapsed="false">
      <c r="A246" s="4" t="str">
        <f aca="false">IF('📋 Trade Log'!B244&lt;&gt;"",'📋 Trade Log'!A244,"")</f>
        <v/>
      </c>
      <c r="B246" s="5" t="str">
        <f aca="false">IF('📋 Trade Log'!B244&lt;&gt;"",'📋 Trade Log'!B244,"")</f>
        <v/>
      </c>
      <c r="C246" s="7" t="str">
        <f aca="false">IF('📋 Trade Log'!L244&lt;&gt;"",'📋 Trade Log'!L244,"")</f>
        <v/>
      </c>
      <c r="D246" s="7" t="str">
        <f aca="false">IF(A246&lt;&gt;"",SUM($C$6:C246),"")</f>
        <v/>
      </c>
      <c r="E246" s="7" t="str">
        <f aca="false">IF(A246&lt;&gt;"",B$3+D246,"")</f>
        <v/>
      </c>
      <c r="F246" s="7" t="str">
        <f aca="false">IF(A246&lt;&gt;"",MIN(0,E246-MAX($E$6:E246)),"")</f>
        <v/>
      </c>
      <c r="G246" s="35" t="str">
        <f aca="false">IF(A246&lt;&gt;"",IFERROR(F246/MAX($E$6:E246),0),"")</f>
        <v/>
      </c>
    </row>
    <row r="247" customFormat="false" ht="15" hidden="false" customHeight="false" outlineLevel="0" collapsed="false">
      <c r="A247" s="9" t="str">
        <f aca="false">IF('📋 Trade Log'!B245&lt;&gt;"",'📋 Trade Log'!A245,"")</f>
        <v/>
      </c>
      <c r="B247" s="10" t="str">
        <f aca="false">IF('📋 Trade Log'!B245&lt;&gt;"",'📋 Trade Log'!B245,"")</f>
        <v/>
      </c>
      <c r="C247" s="12" t="str">
        <f aca="false">IF('📋 Trade Log'!L245&lt;&gt;"",'📋 Trade Log'!L245,"")</f>
        <v/>
      </c>
      <c r="D247" s="12" t="str">
        <f aca="false">IF(A247&lt;&gt;"",SUM($C$6:C247),"")</f>
        <v/>
      </c>
      <c r="E247" s="12" t="str">
        <f aca="false">IF(A247&lt;&gt;"",B$3+D247,"")</f>
        <v/>
      </c>
      <c r="F247" s="12" t="str">
        <f aca="false">IF(A247&lt;&gt;"",MIN(0,E247-MAX($E$6:E247)),"")</f>
        <v/>
      </c>
      <c r="G247" s="36" t="str">
        <f aca="false">IF(A247&lt;&gt;"",IFERROR(F247/MAX($E$6:E247),0),"")</f>
        <v/>
      </c>
    </row>
    <row r="248" customFormat="false" ht="15" hidden="false" customHeight="false" outlineLevel="0" collapsed="false">
      <c r="A248" s="4" t="str">
        <f aca="false">IF('📋 Trade Log'!B246&lt;&gt;"",'📋 Trade Log'!A246,"")</f>
        <v/>
      </c>
      <c r="B248" s="5" t="str">
        <f aca="false">IF('📋 Trade Log'!B246&lt;&gt;"",'📋 Trade Log'!B246,"")</f>
        <v/>
      </c>
      <c r="C248" s="7" t="str">
        <f aca="false">IF('📋 Trade Log'!L246&lt;&gt;"",'📋 Trade Log'!L246,"")</f>
        <v/>
      </c>
      <c r="D248" s="7" t="str">
        <f aca="false">IF(A248&lt;&gt;"",SUM($C$6:C248),"")</f>
        <v/>
      </c>
      <c r="E248" s="7" t="str">
        <f aca="false">IF(A248&lt;&gt;"",B$3+D248,"")</f>
        <v/>
      </c>
      <c r="F248" s="7" t="str">
        <f aca="false">IF(A248&lt;&gt;"",MIN(0,E248-MAX($E$6:E248)),"")</f>
        <v/>
      </c>
      <c r="G248" s="35" t="str">
        <f aca="false">IF(A248&lt;&gt;"",IFERROR(F248/MAX($E$6:E248),0),"")</f>
        <v/>
      </c>
    </row>
    <row r="249" customFormat="false" ht="15" hidden="false" customHeight="false" outlineLevel="0" collapsed="false">
      <c r="A249" s="9" t="str">
        <f aca="false">IF('📋 Trade Log'!B247&lt;&gt;"",'📋 Trade Log'!A247,"")</f>
        <v/>
      </c>
      <c r="B249" s="10" t="str">
        <f aca="false">IF('📋 Trade Log'!B247&lt;&gt;"",'📋 Trade Log'!B247,"")</f>
        <v/>
      </c>
      <c r="C249" s="12" t="str">
        <f aca="false">IF('📋 Trade Log'!L247&lt;&gt;"",'📋 Trade Log'!L247,"")</f>
        <v/>
      </c>
      <c r="D249" s="12" t="str">
        <f aca="false">IF(A249&lt;&gt;"",SUM($C$6:C249),"")</f>
        <v/>
      </c>
      <c r="E249" s="12" t="str">
        <f aca="false">IF(A249&lt;&gt;"",B$3+D249,"")</f>
        <v/>
      </c>
      <c r="F249" s="12" t="str">
        <f aca="false">IF(A249&lt;&gt;"",MIN(0,E249-MAX($E$6:E249)),"")</f>
        <v/>
      </c>
      <c r="G249" s="36" t="str">
        <f aca="false">IF(A249&lt;&gt;"",IFERROR(F249/MAX($E$6:E249),0),"")</f>
        <v/>
      </c>
    </row>
    <row r="250" customFormat="false" ht="15" hidden="false" customHeight="false" outlineLevel="0" collapsed="false">
      <c r="A250" s="4" t="str">
        <f aca="false">IF('📋 Trade Log'!B248&lt;&gt;"",'📋 Trade Log'!A248,"")</f>
        <v/>
      </c>
      <c r="B250" s="5" t="str">
        <f aca="false">IF('📋 Trade Log'!B248&lt;&gt;"",'📋 Trade Log'!B248,"")</f>
        <v/>
      </c>
      <c r="C250" s="7" t="str">
        <f aca="false">IF('📋 Trade Log'!L248&lt;&gt;"",'📋 Trade Log'!L248,"")</f>
        <v/>
      </c>
      <c r="D250" s="7" t="str">
        <f aca="false">IF(A250&lt;&gt;"",SUM($C$6:C250),"")</f>
        <v/>
      </c>
      <c r="E250" s="7" t="str">
        <f aca="false">IF(A250&lt;&gt;"",B$3+D250,"")</f>
        <v/>
      </c>
      <c r="F250" s="7" t="str">
        <f aca="false">IF(A250&lt;&gt;"",MIN(0,E250-MAX($E$6:E250)),"")</f>
        <v/>
      </c>
      <c r="G250" s="35" t="str">
        <f aca="false">IF(A250&lt;&gt;"",IFERROR(F250/MAX($E$6:E250),0),"")</f>
        <v/>
      </c>
    </row>
    <row r="251" customFormat="false" ht="15" hidden="false" customHeight="false" outlineLevel="0" collapsed="false">
      <c r="A251" s="9" t="str">
        <f aca="false">IF('📋 Trade Log'!B249&lt;&gt;"",'📋 Trade Log'!A249,"")</f>
        <v/>
      </c>
      <c r="B251" s="10" t="str">
        <f aca="false">IF('📋 Trade Log'!B249&lt;&gt;"",'📋 Trade Log'!B249,"")</f>
        <v/>
      </c>
      <c r="C251" s="12" t="str">
        <f aca="false">IF('📋 Trade Log'!L249&lt;&gt;"",'📋 Trade Log'!L249,"")</f>
        <v/>
      </c>
      <c r="D251" s="12" t="str">
        <f aca="false">IF(A251&lt;&gt;"",SUM($C$6:C251),"")</f>
        <v/>
      </c>
      <c r="E251" s="12" t="str">
        <f aca="false">IF(A251&lt;&gt;"",B$3+D251,"")</f>
        <v/>
      </c>
      <c r="F251" s="12" t="str">
        <f aca="false">IF(A251&lt;&gt;"",MIN(0,E251-MAX($E$6:E251)),"")</f>
        <v/>
      </c>
      <c r="G251" s="36" t="str">
        <f aca="false">IF(A251&lt;&gt;"",IFERROR(F251/MAX($E$6:E251),0),"")</f>
        <v/>
      </c>
    </row>
    <row r="252" customFormat="false" ht="15" hidden="false" customHeight="false" outlineLevel="0" collapsed="false">
      <c r="A252" s="4" t="str">
        <f aca="false">IF('📋 Trade Log'!B250&lt;&gt;"",'📋 Trade Log'!A250,"")</f>
        <v/>
      </c>
      <c r="B252" s="5" t="str">
        <f aca="false">IF('📋 Trade Log'!B250&lt;&gt;"",'📋 Trade Log'!B250,"")</f>
        <v/>
      </c>
      <c r="C252" s="7" t="str">
        <f aca="false">IF('📋 Trade Log'!L250&lt;&gt;"",'📋 Trade Log'!L250,"")</f>
        <v/>
      </c>
      <c r="D252" s="7" t="str">
        <f aca="false">IF(A252&lt;&gt;"",SUM($C$6:C252),"")</f>
        <v/>
      </c>
      <c r="E252" s="7" t="str">
        <f aca="false">IF(A252&lt;&gt;"",B$3+D252,"")</f>
        <v/>
      </c>
      <c r="F252" s="7" t="str">
        <f aca="false">IF(A252&lt;&gt;"",MIN(0,E252-MAX($E$6:E252)),"")</f>
        <v/>
      </c>
      <c r="G252" s="35" t="str">
        <f aca="false">IF(A252&lt;&gt;"",IFERROR(F252/MAX($E$6:E252),0),"")</f>
        <v/>
      </c>
    </row>
    <row r="253" customFormat="false" ht="15" hidden="false" customHeight="false" outlineLevel="0" collapsed="false">
      <c r="A253" s="9" t="str">
        <f aca="false">IF('📋 Trade Log'!B251&lt;&gt;"",'📋 Trade Log'!A251,"")</f>
        <v/>
      </c>
      <c r="B253" s="10" t="str">
        <f aca="false">IF('📋 Trade Log'!B251&lt;&gt;"",'📋 Trade Log'!B251,"")</f>
        <v/>
      </c>
      <c r="C253" s="12" t="str">
        <f aca="false">IF('📋 Trade Log'!L251&lt;&gt;"",'📋 Trade Log'!L251,"")</f>
        <v/>
      </c>
      <c r="D253" s="12" t="str">
        <f aca="false">IF(A253&lt;&gt;"",SUM($C$6:C253),"")</f>
        <v/>
      </c>
      <c r="E253" s="12" t="str">
        <f aca="false">IF(A253&lt;&gt;"",B$3+D253,"")</f>
        <v/>
      </c>
      <c r="F253" s="12" t="str">
        <f aca="false">IF(A253&lt;&gt;"",MIN(0,E253-MAX($E$6:E253)),"")</f>
        <v/>
      </c>
      <c r="G253" s="36" t="str">
        <f aca="false">IF(A253&lt;&gt;"",IFERROR(F253/MAX($E$6:E253),0),"")</f>
        <v/>
      </c>
    </row>
    <row r="254" customFormat="false" ht="15" hidden="false" customHeight="false" outlineLevel="0" collapsed="false">
      <c r="A254" s="4" t="str">
        <f aca="false">IF('📋 Trade Log'!B252&lt;&gt;"",'📋 Trade Log'!A252,"")</f>
        <v/>
      </c>
      <c r="B254" s="5" t="str">
        <f aca="false">IF('📋 Trade Log'!B252&lt;&gt;"",'📋 Trade Log'!B252,"")</f>
        <v/>
      </c>
      <c r="C254" s="7" t="str">
        <f aca="false">IF('📋 Trade Log'!L252&lt;&gt;"",'📋 Trade Log'!L252,"")</f>
        <v/>
      </c>
      <c r="D254" s="7" t="str">
        <f aca="false">IF(A254&lt;&gt;"",SUM($C$6:C254),"")</f>
        <v/>
      </c>
      <c r="E254" s="7" t="str">
        <f aca="false">IF(A254&lt;&gt;"",B$3+D254,"")</f>
        <v/>
      </c>
      <c r="F254" s="7" t="str">
        <f aca="false">IF(A254&lt;&gt;"",MIN(0,E254-MAX($E$6:E254)),"")</f>
        <v/>
      </c>
      <c r="G254" s="35" t="str">
        <f aca="false">IF(A254&lt;&gt;"",IFERROR(F254/MAX($E$6:E254),0),"")</f>
        <v/>
      </c>
    </row>
    <row r="255" customFormat="false" ht="15" hidden="false" customHeight="false" outlineLevel="0" collapsed="false">
      <c r="A255" s="9" t="str">
        <f aca="false">IF('📋 Trade Log'!B253&lt;&gt;"",'📋 Trade Log'!A253,"")</f>
        <v/>
      </c>
      <c r="B255" s="10" t="str">
        <f aca="false">IF('📋 Trade Log'!B253&lt;&gt;"",'📋 Trade Log'!B253,"")</f>
        <v/>
      </c>
      <c r="C255" s="12" t="str">
        <f aca="false">IF('📋 Trade Log'!L253&lt;&gt;"",'📋 Trade Log'!L253,"")</f>
        <v/>
      </c>
      <c r="D255" s="12" t="str">
        <f aca="false">IF(A255&lt;&gt;"",SUM($C$6:C255),"")</f>
        <v/>
      </c>
      <c r="E255" s="12" t="str">
        <f aca="false">IF(A255&lt;&gt;"",B$3+D255,"")</f>
        <v/>
      </c>
      <c r="F255" s="12" t="str">
        <f aca="false">IF(A255&lt;&gt;"",MIN(0,E255-MAX($E$6:E255)),"")</f>
        <v/>
      </c>
      <c r="G255" s="36" t="str">
        <f aca="false">IF(A255&lt;&gt;"",IFERROR(F255/MAX($E$6:E255),0),"")</f>
        <v/>
      </c>
    </row>
    <row r="256" customFormat="false" ht="15" hidden="false" customHeight="false" outlineLevel="0" collapsed="false">
      <c r="A256" s="4" t="str">
        <f aca="false">IF('📋 Trade Log'!B254&lt;&gt;"",'📋 Trade Log'!A254,"")</f>
        <v/>
      </c>
      <c r="B256" s="5" t="str">
        <f aca="false">IF('📋 Trade Log'!B254&lt;&gt;"",'📋 Trade Log'!B254,"")</f>
        <v/>
      </c>
      <c r="C256" s="7" t="str">
        <f aca="false">IF('📋 Trade Log'!L254&lt;&gt;"",'📋 Trade Log'!L254,"")</f>
        <v/>
      </c>
      <c r="D256" s="7" t="str">
        <f aca="false">IF(A256&lt;&gt;"",SUM($C$6:C256),"")</f>
        <v/>
      </c>
      <c r="E256" s="7" t="str">
        <f aca="false">IF(A256&lt;&gt;"",B$3+D256,"")</f>
        <v/>
      </c>
      <c r="F256" s="7" t="str">
        <f aca="false">IF(A256&lt;&gt;"",MIN(0,E256-MAX($E$6:E256)),"")</f>
        <v/>
      </c>
      <c r="G256" s="35" t="str">
        <f aca="false">IF(A256&lt;&gt;"",IFERROR(F256/MAX($E$6:E256),0),"")</f>
        <v/>
      </c>
    </row>
    <row r="257" customFormat="false" ht="15" hidden="false" customHeight="false" outlineLevel="0" collapsed="false">
      <c r="A257" s="9" t="str">
        <f aca="false">IF('📋 Trade Log'!B255&lt;&gt;"",'📋 Trade Log'!A255,"")</f>
        <v/>
      </c>
      <c r="B257" s="10" t="str">
        <f aca="false">IF('📋 Trade Log'!B255&lt;&gt;"",'📋 Trade Log'!B255,"")</f>
        <v/>
      </c>
      <c r="C257" s="12" t="str">
        <f aca="false">IF('📋 Trade Log'!L255&lt;&gt;"",'📋 Trade Log'!L255,"")</f>
        <v/>
      </c>
      <c r="D257" s="12" t="str">
        <f aca="false">IF(A257&lt;&gt;"",SUM($C$6:C257),"")</f>
        <v/>
      </c>
      <c r="E257" s="12" t="str">
        <f aca="false">IF(A257&lt;&gt;"",B$3+D257,"")</f>
        <v/>
      </c>
      <c r="F257" s="12" t="str">
        <f aca="false">IF(A257&lt;&gt;"",MIN(0,E257-MAX($E$6:E257)),"")</f>
        <v/>
      </c>
      <c r="G257" s="36" t="str">
        <f aca="false">IF(A257&lt;&gt;"",IFERROR(F257/MAX($E$6:E257),0),"")</f>
        <v/>
      </c>
    </row>
    <row r="258" customFormat="false" ht="15" hidden="false" customHeight="false" outlineLevel="0" collapsed="false">
      <c r="A258" s="4" t="str">
        <f aca="false">IF('📋 Trade Log'!B256&lt;&gt;"",'📋 Trade Log'!A256,"")</f>
        <v/>
      </c>
      <c r="B258" s="5" t="str">
        <f aca="false">IF('📋 Trade Log'!B256&lt;&gt;"",'📋 Trade Log'!B256,"")</f>
        <v/>
      </c>
      <c r="C258" s="7" t="str">
        <f aca="false">IF('📋 Trade Log'!L256&lt;&gt;"",'📋 Trade Log'!L256,"")</f>
        <v/>
      </c>
      <c r="D258" s="7" t="str">
        <f aca="false">IF(A258&lt;&gt;"",SUM($C$6:C258),"")</f>
        <v/>
      </c>
      <c r="E258" s="7" t="str">
        <f aca="false">IF(A258&lt;&gt;"",B$3+D258,"")</f>
        <v/>
      </c>
      <c r="F258" s="7" t="str">
        <f aca="false">IF(A258&lt;&gt;"",MIN(0,E258-MAX($E$6:E258)),"")</f>
        <v/>
      </c>
      <c r="G258" s="35" t="str">
        <f aca="false">IF(A258&lt;&gt;"",IFERROR(F258/MAX($E$6:E258),0),"")</f>
        <v/>
      </c>
    </row>
    <row r="259" customFormat="false" ht="15" hidden="false" customHeight="false" outlineLevel="0" collapsed="false">
      <c r="A259" s="9" t="str">
        <f aca="false">IF('📋 Trade Log'!B257&lt;&gt;"",'📋 Trade Log'!A257,"")</f>
        <v/>
      </c>
      <c r="B259" s="10" t="str">
        <f aca="false">IF('📋 Trade Log'!B257&lt;&gt;"",'📋 Trade Log'!B257,"")</f>
        <v/>
      </c>
      <c r="C259" s="12" t="str">
        <f aca="false">IF('📋 Trade Log'!L257&lt;&gt;"",'📋 Trade Log'!L257,"")</f>
        <v/>
      </c>
      <c r="D259" s="12" t="str">
        <f aca="false">IF(A259&lt;&gt;"",SUM($C$6:C259),"")</f>
        <v/>
      </c>
      <c r="E259" s="12" t="str">
        <f aca="false">IF(A259&lt;&gt;"",B$3+D259,"")</f>
        <v/>
      </c>
      <c r="F259" s="12" t="str">
        <f aca="false">IF(A259&lt;&gt;"",MIN(0,E259-MAX($E$6:E259)),"")</f>
        <v/>
      </c>
      <c r="G259" s="36" t="str">
        <f aca="false">IF(A259&lt;&gt;"",IFERROR(F259/MAX($E$6:E259),0),"")</f>
        <v/>
      </c>
    </row>
    <row r="260" customFormat="false" ht="15" hidden="false" customHeight="false" outlineLevel="0" collapsed="false">
      <c r="A260" s="4" t="str">
        <f aca="false">IF('📋 Trade Log'!B258&lt;&gt;"",'📋 Trade Log'!A258,"")</f>
        <v/>
      </c>
      <c r="B260" s="5" t="str">
        <f aca="false">IF('📋 Trade Log'!B258&lt;&gt;"",'📋 Trade Log'!B258,"")</f>
        <v/>
      </c>
      <c r="C260" s="7" t="str">
        <f aca="false">IF('📋 Trade Log'!L258&lt;&gt;"",'📋 Trade Log'!L258,"")</f>
        <v/>
      </c>
      <c r="D260" s="7" t="str">
        <f aca="false">IF(A260&lt;&gt;"",SUM($C$6:C260),"")</f>
        <v/>
      </c>
      <c r="E260" s="7" t="str">
        <f aca="false">IF(A260&lt;&gt;"",B$3+D260,"")</f>
        <v/>
      </c>
      <c r="F260" s="7" t="str">
        <f aca="false">IF(A260&lt;&gt;"",MIN(0,E260-MAX($E$6:E260)),"")</f>
        <v/>
      </c>
      <c r="G260" s="35" t="str">
        <f aca="false">IF(A260&lt;&gt;"",IFERROR(F260/MAX($E$6:E260),0),"")</f>
        <v/>
      </c>
    </row>
    <row r="261" customFormat="false" ht="15" hidden="false" customHeight="false" outlineLevel="0" collapsed="false">
      <c r="A261" s="9" t="str">
        <f aca="false">IF('📋 Trade Log'!B259&lt;&gt;"",'📋 Trade Log'!A259,"")</f>
        <v/>
      </c>
      <c r="B261" s="10" t="str">
        <f aca="false">IF('📋 Trade Log'!B259&lt;&gt;"",'📋 Trade Log'!B259,"")</f>
        <v/>
      </c>
      <c r="C261" s="12" t="str">
        <f aca="false">IF('📋 Trade Log'!L259&lt;&gt;"",'📋 Trade Log'!L259,"")</f>
        <v/>
      </c>
      <c r="D261" s="12" t="str">
        <f aca="false">IF(A261&lt;&gt;"",SUM($C$6:C261),"")</f>
        <v/>
      </c>
      <c r="E261" s="12" t="str">
        <f aca="false">IF(A261&lt;&gt;"",B$3+D261,"")</f>
        <v/>
      </c>
      <c r="F261" s="12" t="str">
        <f aca="false">IF(A261&lt;&gt;"",MIN(0,E261-MAX($E$6:E261)),"")</f>
        <v/>
      </c>
      <c r="G261" s="36" t="str">
        <f aca="false">IF(A261&lt;&gt;"",IFERROR(F261/MAX($E$6:E261),0),"")</f>
        <v/>
      </c>
    </row>
    <row r="262" customFormat="false" ht="15" hidden="false" customHeight="false" outlineLevel="0" collapsed="false">
      <c r="A262" s="4" t="str">
        <f aca="false">IF('📋 Trade Log'!B260&lt;&gt;"",'📋 Trade Log'!A260,"")</f>
        <v/>
      </c>
      <c r="B262" s="5" t="str">
        <f aca="false">IF('📋 Trade Log'!B260&lt;&gt;"",'📋 Trade Log'!B260,"")</f>
        <v/>
      </c>
      <c r="C262" s="7" t="str">
        <f aca="false">IF('📋 Trade Log'!L260&lt;&gt;"",'📋 Trade Log'!L260,"")</f>
        <v/>
      </c>
      <c r="D262" s="7" t="str">
        <f aca="false">IF(A262&lt;&gt;"",SUM($C$6:C262),"")</f>
        <v/>
      </c>
      <c r="E262" s="7" t="str">
        <f aca="false">IF(A262&lt;&gt;"",B$3+D262,"")</f>
        <v/>
      </c>
      <c r="F262" s="7" t="str">
        <f aca="false">IF(A262&lt;&gt;"",MIN(0,E262-MAX($E$6:E262)),"")</f>
        <v/>
      </c>
      <c r="G262" s="35" t="str">
        <f aca="false">IF(A262&lt;&gt;"",IFERROR(F262/MAX($E$6:E262),0),"")</f>
        <v/>
      </c>
    </row>
    <row r="263" customFormat="false" ht="15" hidden="false" customHeight="false" outlineLevel="0" collapsed="false">
      <c r="A263" s="9" t="str">
        <f aca="false">IF('📋 Trade Log'!B261&lt;&gt;"",'📋 Trade Log'!A261,"")</f>
        <v/>
      </c>
      <c r="B263" s="10" t="str">
        <f aca="false">IF('📋 Trade Log'!B261&lt;&gt;"",'📋 Trade Log'!B261,"")</f>
        <v/>
      </c>
      <c r="C263" s="12" t="str">
        <f aca="false">IF('📋 Trade Log'!L261&lt;&gt;"",'📋 Trade Log'!L261,"")</f>
        <v/>
      </c>
      <c r="D263" s="12" t="str">
        <f aca="false">IF(A263&lt;&gt;"",SUM($C$6:C263),"")</f>
        <v/>
      </c>
      <c r="E263" s="12" t="str">
        <f aca="false">IF(A263&lt;&gt;"",B$3+D263,"")</f>
        <v/>
      </c>
      <c r="F263" s="12" t="str">
        <f aca="false">IF(A263&lt;&gt;"",MIN(0,E263-MAX($E$6:E263)),"")</f>
        <v/>
      </c>
      <c r="G263" s="36" t="str">
        <f aca="false">IF(A263&lt;&gt;"",IFERROR(F263/MAX($E$6:E263),0),"")</f>
        <v/>
      </c>
    </row>
    <row r="264" customFormat="false" ht="15" hidden="false" customHeight="false" outlineLevel="0" collapsed="false">
      <c r="A264" s="4" t="str">
        <f aca="false">IF('📋 Trade Log'!B262&lt;&gt;"",'📋 Trade Log'!A262,"")</f>
        <v/>
      </c>
      <c r="B264" s="5" t="str">
        <f aca="false">IF('📋 Trade Log'!B262&lt;&gt;"",'📋 Trade Log'!B262,"")</f>
        <v/>
      </c>
      <c r="C264" s="7" t="str">
        <f aca="false">IF('📋 Trade Log'!L262&lt;&gt;"",'📋 Trade Log'!L262,"")</f>
        <v/>
      </c>
      <c r="D264" s="7" t="str">
        <f aca="false">IF(A264&lt;&gt;"",SUM($C$6:C264),"")</f>
        <v/>
      </c>
      <c r="E264" s="7" t="str">
        <f aca="false">IF(A264&lt;&gt;"",B$3+D264,"")</f>
        <v/>
      </c>
      <c r="F264" s="7" t="str">
        <f aca="false">IF(A264&lt;&gt;"",MIN(0,E264-MAX($E$6:E264)),"")</f>
        <v/>
      </c>
      <c r="G264" s="35" t="str">
        <f aca="false">IF(A264&lt;&gt;"",IFERROR(F264/MAX($E$6:E264),0),"")</f>
        <v/>
      </c>
    </row>
    <row r="265" customFormat="false" ht="15" hidden="false" customHeight="false" outlineLevel="0" collapsed="false">
      <c r="A265" s="9" t="str">
        <f aca="false">IF('📋 Trade Log'!B263&lt;&gt;"",'📋 Trade Log'!A263,"")</f>
        <v/>
      </c>
      <c r="B265" s="10" t="str">
        <f aca="false">IF('📋 Trade Log'!B263&lt;&gt;"",'📋 Trade Log'!B263,"")</f>
        <v/>
      </c>
      <c r="C265" s="12" t="str">
        <f aca="false">IF('📋 Trade Log'!L263&lt;&gt;"",'📋 Trade Log'!L263,"")</f>
        <v/>
      </c>
      <c r="D265" s="12" t="str">
        <f aca="false">IF(A265&lt;&gt;"",SUM($C$6:C265),"")</f>
        <v/>
      </c>
      <c r="E265" s="12" t="str">
        <f aca="false">IF(A265&lt;&gt;"",B$3+D265,"")</f>
        <v/>
      </c>
      <c r="F265" s="12" t="str">
        <f aca="false">IF(A265&lt;&gt;"",MIN(0,E265-MAX($E$6:E265)),"")</f>
        <v/>
      </c>
      <c r="G265" s="36" t="str">
        <f aca="false">IF(A265&lt;&gt;"",IFERROR(F265/MAX($E$6:E265),0),"")</f>
        <v/>
      </c>
    </row>
    <row r="266" customFormat="false" ht="15" hidden="false" customHeight="false" outlineLevel="0" collapsed="false">
      <c r="A266" s="4" t="str">
        <f aca="false">IF('📋 Trade Log'!B264&lt;&gt;"",'📋 Trade Log'!A264,"")</f>
        <v/>
      </c>
      <c r="B266" s="5" t="str">
        <f aca="false">IF('📋 Trade Log'!B264&lt;&gt;"",'📋 Trade Log'!B264,"")</f>
        <v/>
      </c>
      <c r="C266" s="7" t="str">
        <f aca="false">IF('📋 Trade Log'!L264&lt;&gt;"",'📋 Trade Log'!L264,"")</f>
        <v/>
      </c>
      <c r="D266" s="7" t="str">
        <f aca="false">IF(A266&lt;&gt;"",SUM($C$6:C266),"")</f>
        <v/>
      </c>
      <c r="E266" s="7" t="str">
        <f aca="false">IF(A266&lt;&gt;"",B$3+D266,"")</f>
        <v/>
      </c>
      <c r="F266" s="7" t="str">
        <f aca="false">IF(A266&lt;&gt;"",MIN(0,E266-MAX($E$6:E266)),"")</f>
        <v/>
      </c>
      <c r="G266" s="35" t="str">
        <f aca="false">IF(A266&lt;&gt;"",IFERROR(F266/MAX($E$6:E266),0),"")</f>
        <v/>
      </c>
    </row>
    <row r="267" customFormat="false" ht="15" hidden="false" customHeight="false" outlineLevel="0" collapsed="false">
      <c r="A267" s="9" t="str">
        <f aca="false">IF('📋 Trade Log'!B265&lt;&gt;"",'📋 Trade Log'!A265,"")</f>
        <v/>
      </c>
      <c r="B267" s="10" t="str">
        <f aca="false">IF('📋 Trade Log'!B265&lt;&gt;"",'📋 Trade Log'!B265,"")</f>
        <v/>
      </c>
      <c r="C267" s="12" t="str">
        <f aca="false">IF('📋 Trade Log'!L265&lt;&gt;"",'📋 Trade Log'!L265,"")</f>
        <v/>
      </c>
      <c r="D267" s="12" t="str">
        <f aca="false">IF(A267&lt;&gt;"",SUM($C$6:C267),"")</f>
        <v/>
      </c>
      <c r="E267" s="12" t="str">
        <f aca="false">IF(A267&lt;&gt;"",B$3+D267,"")</f>
        <v/>
      </c>
      <c r="F267" s="12" t="str">
        <f aca="false">IF(A267&lt;&gt;"",MIN(0,E267-MAX($E$6:E267)),"")</f>
        <v/>
      </c>
      <c r="G267" s="36" t="str">
        <f aca="false">IF(A267&lt;&gt;"",IFERROR(F267/MAX($E$6:E267),0),"")</f>
        <v/>
      </c>
    </row>
    <row r="268" customFormat="false" ht="15" hidden="false" customHeight="false" outlineLevel="0" collapsed="false">
      <c r="A268" s="4" t="str">
        <f aca="false">IF('📋 Trade Log'!B266&lt;&gt;"",'📋 Trade Log'!A266,"")</f>
        <v/>
      </c>
      <c r="B268" s="5" t="str">
        <f aca="false">IF('📋 Trade Log'!B266&lt;&gt;"",'📋 Trade Log'!B266,"")</f>
        <v/>
      </c>
      <c r="C268" s="7" t="str">
        <f aca="false">IF('📋 Trade Log'!L266&lt;&gt;"",'📋 Trade Log'!L266,"")</f>
        <v/>
      </c>
      <c r="D268" s="7" t="str">
        <f aca="false">IF(A268&lt;&gt;"",SUM($C$6:C268),"")</f>
        <v/>
      </c>
      <c r="E268" s="7" t="str">
        <f aca="false">IF(A268&lt;&gt;"",B$3+D268,"")</f>
        <v/>
      </c>
      <c r="F268" s="7" t="str">
        <f aca="false">IF(A268&lt;&gt;"",MIN(0,E268-MAX($E$6:E268)),"")</f>
        <v/>
      </c>
      <c r="G268" s="35" t="str">
        <f aca="false">IF(A268&lt;&gt;"",IFERROR(F268/MAX($E$6:E268),0),"")</f>
        <v/>
      </c>
    </row>
    <row r="269" customFormat="false" ht="15" hidden="false" customHeight="false" outlineLevel="0" collapsed="false">
      <c r="A269" s="9" t="str">
        <f aca="false">IF('📋 Trade Log'!B267&lt;&gt;"",'📋 Trade Log'!A267,"")</f>
        <v/>
      </c>
      <c r="B269" s="10" t="str">
        <f aca="false">IF('📋 Trade Log'!B267&lt;&gt;"",'📋 Trade Log'!B267,"")</f>
        <v/>
      </c>
      <c r="C269" s="12" t="str">
        <f aca="false">IF('📋 Trade Log'!L267&lt;&gt;"",'📋 Trade Log'!L267,"")</f>
        <v/>
      </c>
      <c r="D269" s="12" t="str">
        <f aca="false">IF(A269&lt;&gt;"",SUM($C$6:C269),"")</f>
        <v/>
      </c>
      <c r="E269" s="12" t="str">
        <f aca="false">IF(A269&lt;&gt;"",B$3+D269,"")</f>
        <v/>
      </c>
      <c r="F269" s="12" t="str">
        <f aca="false">IF(A269&lt;&gt;"",MIN(0,E269-MAX($E$6:E269)),"")</f>
        <v/>
      </c>
      <c r="G269" s="36" t="str">
        <f aca="false">IF(A269&lt;&gt;"",IFERROR(F269/MAX($E$6:E269),0),"")</f>
        <v/>
      </c>
    </row>
    <row r="270" customFormat="false" ht="15" hidden="false" customHeight="false" outlineLevel="0" collapsed="false">
      <c r="A270" s="4" t="str">
        <f aca="false">IF('📋 Trade Log'!B268&lt;&gt;"",'📋 Trade Log'!A268,"")</f>
        <v/>
      </c>
      <c r="B270" s="5" t="str">
        <f aca="false">IF('📋 Trade Log'!B268&lt;&gt;"",'📋 Trade Log'!B268,"")</f>
        <v/>
      </c>
      <c r="C270" s="7" t="str">
        <f aca="false">IF('📋 Trade Log'!L268&lt;&gt;"",'📋 Trade Log'!L268,"")</f>
        <v/>
      </c>
      <c r="D270" s="7" t="str">
        <f aca="false">IF(A270&lt;&gt;"",SUM($C$6:C270),"")</f>
        <v/>
      </c>
      <c r="E270" s="7" t="str">
        <f aca="false">IF(A270&lt;&gt;"",B$3+D270,"")</f>
        <v/>
      </c>
      <c r="F270" s="7" t="str">
        <f aca="false">IF(A270&lt;&gt;"",MIN(0,E270-MAX($E$6:E270)),"")</f>
        <v/>
      </c>
      <c r="G270" s="35" t="str">
        <f aca="false">IF(A270&lt;&gt;"",IFERROR(F270/MAX($E$6:E270),0),"")</f>
        <v/>
      </c>
    </row>
    <row r="271" customFormat="false" ht="15" hidden="false" customHeight="false" outlineLevel="0" collapsed="false">
      <c r="A271" s="9" t="str">
        <f aca="false">IF('📋 Trade Log'!B269&lt;&gt;"",'📋 Trade Log'!A269,"")</f>
        <v/>
      </c>
      <c r="B271" s="10" t="str">
        <f aca="false">IF('📋 Trade Log'!B269&lt;&gt;"",'📋 Trade Log'!B269,"")</f>
        <v/>
      </c>
      <c r="C271" s="12" t="str">
        <f aca="false">IF('📋 Trade Log'!L269&lt;&gt;"",'📋 Trade Log'!L269,"")</f>
        <v/>
      </c>
      <c r="D271" s="12" t="str">
        <f aca="false">IF(A271&lt;&gt;"",SUM($C$6:C271),"")</f>
        <v/>
      </c>
      <c r="E271" s="12" t="str">
        <f aca="false">IF(A271&lt;&gt;"",B$3+D271,"")</f>
        <v/>
      </c>
      <c r="F271" s="12" t="str">
        <f aca="false">IF(A271&lt;&gt;"",MIN(0,E271-MAX($E$6:E271)),"")</f>
        <v/>
      </c>
      <c r="G271" s="36" t="str">
        <f aca="false">IF(A271&lt;&gt;"",IFERROR(F271/MAX($E$6:E271),0),"")</f>
        <v/>
      </c>
    </row>
    <row r="272" customFormat="false" ht="15" hidden="false" customHeight="false" outlineLevel="0" collapsed="false">
      <c r="A272" s="4" t="str">
        <f aca="false">IF('📋 Trade Log'!B270&lt;&gt;"",'📋 Trade Log'!A270,"")</f>
        <v/>
      </c>
      <c r="B272" s="5" t="str">
        <f aca="false">IF('📋 Trade Log'!B270&lt;&gt;"",'📋 Trade Log'!B270,"")</f>
        <v/>
      </c>
      <c r="C272" s="7" t="str">
        <f aca="false">IF('📋 Trade Log'!L270&lt;&gt;"",'📋 Trade Log'!L270,"")</f>
        <v/>
      </c>
      <c r="D272" s="7" t="str">
        <f aca="false">IF(A272&lt;&gt;"",SUM($C$6:C272),"")</f>
        <v/>
      </c>
      <c r="E272" s="7" t="str">
        <f aca="false">IF(A272&lt;&gt;"",B$3+D272,"")</f>
        <v/>
      </c>
      <c r="F272" s="7" t="str">
        <f aca="false">IF(A272&lt;&gt;"",MIN(0,E272-MAX($E$6:E272)),"")</f>
        <v/>
      </c>
      <c r="G272" s="35" t="str">
        <f aca="false">IF(A272&lt;&gt;"",IFERROR(F272/MAX($E$6:E272),0),"")</f>
        <v/>
      </c>
    </row>
    <row r="273" customFormat="false" ht="15" hidden="false" customHeight="false" outlineLevel="0" collapsed="false">
      <c r="A273" s="9" t="str">
        <f aca="false">IF('📋 Trade Log'!B271&lt;&gt;"",'📋 Trade Log'!A271,"")</f>
        <v/>
      </c>
      <c r="B273" s="10" t="str">
        <f aca="false">IF('📋 Trade Log'!B271&lt;&gt;"",'📋 Trade Log'!B271,"")</f>
        <v/>
      </c>
      <c r="C273" s="12" t="str">
        <f aca="false">IF('📋 Trade Log'!L271&lt;&gt;"",'📋 Trade Log'!L271,"")</f>
        <v/>
      </c>
      <c r="D273" s="12" t="str">
        <f aca="false">IF(A273&lt;&gt;"",SUM($C$6:C273),"")</f>
        <v/>
      </c>
      <c r="E273" s="12" t="str">
        <f aca="false">IF(A273&lt;&gt;"",B$3+D273,"")</f>
        <v/>
      </c>
      <c r="F273" s="12" t="str">
        <f aca="false">IF(A273&lt;&gt;"",MIN(0,E273-MAX($E$6:E273)),"")</f>
        <v/>
      </c>
      <c r="G273" s="36" t="str">
        <f aca="false">IF(A273&lt;&gt;"",IFERROR(F273/MAX($E$6:E273),0),"")</f>
        <v/>
      </c>
    </row>
    <row r="274" customFormat="false" ht="15" hidden="false" customHeight="false" outlineLevel="0" collapsed="false">
      <c r="A274" s="4" t="str">
        <f aca="false">IF('📋 Trade Log'!B272&lt;&gt;"",'📋 Trade Log'!A272,"")</f>
        <v/>
      </c>
      <c r="B274" s="5" t="str">
        <f aca="false">IF('📋 Trade Log'!B272&lt;&gt;"",'📋 Trade Log'!B272,"")</f>
        <v/>
      </c>
      <c r="C274" s="7" t="str">
        <f aca="false">IF('📋 Trade Log'!L272&lt;&gt;"",'📋 Trade Log'!L272,"")</f>
        <v/>
      </c>
      <c r="D274" s="7" t="str">
        <f aca="false">IF(A274&lt;&gt;"",SUM($C$6:C274),"")</f>
        <v/>
      </c>
      <c r="E274" s="7" t="str">
        <f aca="false">IF(A274&lt;&gt;"",B$3+D274,"")</f>
        <v/>
      </c>
      <c r="F274" s="7" t="str">
        <f aca="false">IF(A274&lt;&gt;"",MIN(0,E274-MAX($E$6:E274)),"")</f>
        <v/>
      </c>
      <c r="G274" s="35" t="str">
        <f aca="false">IF(A274&lt;&gt;"",IFERROR(F274/MAX($E$6:E274),0),"")</f>
        <v/>
      </c>
    </row>
    <row r="275" customFormat="false" ht="15" hidden="false" customHeight="false" outlineLevel="0" collapsed="false">
      <c r="A275" s="9" t="str">
        <f aca="false">IF('📋 Trade Log'!B273&lt;&gt;"",'📋 Trade Log'!A273,"")</f>
        <v/>
      </c>
      <c r="B275" s="10" t="str">
        <f aca="false">IF('📋 Trade Log'!B273&lt;&gt;"",'📋 Trade Log'!B273,"")</f>
        <v/>
      </c>
      <c r="C275" s="12" t="str">
        <f aca="false">IF('📋 Trade Log'!L273&lt;&gt;"",'📋 Trade Log'!L273,"")</f>
        <v/>
      </c>
      <c r="D275" s="12" t="str">
        <f aca="false">IF(A275&lt;&gt;"",SUM($C$6:C275),"")</f>
        <v/>
      </c>
      <c r="E275" s="12" t="str">
        <f aca="false">IF(A275&lt;&gt;"",B$3+D275,"")</f>
        <v/>
      </c>
      <c r="F275" s="12" t="str">
        <f aca="false">IF(A275&lt;&gt;"",MIN(0,E275-MAX($E$6:E275)),"")</f>
        <v/>
      </c>
      <c r="G275" s="36" t="str">
        <f aca="false">IF(A275&lt;&gt;"",IFERROR(F275/MAX($E$6:E275),0),"")</f>
        <v/>
      </c>
    </row>
    <row r="276" customFormat="false" ht="15" hidden="false" customHeight="false" outlineLevel="0" collapsed="false">
      <c r="A276" s="4" t="str">
        <f aca="false">IF('📋 Trade Log'!B274&lt;&gt;"",'📋 Trade Log'!A274,"")</f>
        <v/>
      </c>
      <c r="B276" s="5" t="str">
        <f aca="false">IF('📋 Trade Log'!B274&lt;&gt;"",'📋 Trade Log'!B274,"")</f>
        <v/>
      </c>
      <c r="C276" s="7" t="str">
        <f aca="false">IF('📋 Trade Log'!L274&lt;&gt;"",'📋 Trade Log'!L274,"")</f>
        <v/>
      </c>
      <c r="D276" s="7" t="str">
        <f aca="false">IF(A276&lt;&gt;"",SUM($C$6:C276),"")</f>
        <v/>
      </c>
      <c r="E276" s="7" t="str">
        <f aca="false">IF(A276&lt;&gt;"",B$3+D276,"")</f>
        <v/>
      </c>
      <c r="F276" s="7" t="str">
        <f aca="false">IF(A276&lt;&gt;"",MIN(0,E276-MAX($E$6:E276)),"")</f>
        <v/>
      </c>
      <c r="G276" s="35" t="str">
        <f aca="false">IF(A276&lt;&gt;"",IFERROR(F276/MAX($E$6:E276),0),"")</f>
        <v/>
      </c>
    </row>
    <row r="277" customFormat="false" ht="15" hidden="false" customHeight="false" outlineLevel="0" collapsed="false">
      <c r="A277" s="9" t="str">
        <f aca="false">IF('📋 Trade Log'!B275&lt;&gt;"",'📋 Trade Log'!A275,"")</f>
        <v/>
      </c>
      <c r="B277" s="10" t="str">
        <f aca="false">IF('📋 Trade Log'!B275&lt;&gt;"",'📋 Trade Log'!B275,"")</f>
        <v/>
      </c>
      <c r="C277" s="12" t="str">
        <f aca="false">IF('📋 Trade Log'!L275&lt;&gt;"",'📋 Trade Log'!L275,"")</f>
        <v/>
      </c>
      <c r="D277" s="12" t="str">
        <f aca="false">IF(A277&lt;&gt;"",SUM($C$6:C277),"")</f>
        <v/>
      </c>
      <c r="E277" s="12" t="str">
        <f aca="false">IF(A277&lt;&gt;"",B$3+D277,"")</f>
        <v/>
      </c>
      <c r="F277" s="12" t="str">
        <f aca="false">IF(A277&lt;&gt;"",MIN(0,E277-MAX($E$6:E277)),"")</f>
        <v/>
      </c>
      <c r="G277" s="36" t="str">
        <f aca="false">IF(A277&lt;&gt;"",IFERROR(F277/MAX($E$6:E277),0),"")</f>
        <v/>
      </c>
    </row>
    <row r="278" customFormat="false" ht="15" hidden="false" customHeight="false" outlineLevel="0" collapsed="false">
      <c r="A278" s="4" t="str">
        <f aca="false">IF('📋 Trade Log'!B276&lt;&gt;"",'📋 Trade Log'!A276,"")</f>
        <v/>
      </c>
      <c r="B278" s="5" t="str">
        <f aca="false">IF('📋 Trade Log'!B276&lt;&gt;"",'📋 Trade Log'!B276,"")</f>
        <v/>
      </c>
      <c r="C278" s="7" t="str">
        <f aca="false">IF('📋 Trade Log'!L276&lt;&gt;"",'📋 Trade Log'!L276,"")</f>
        <v/>
      </c>
      <c r="D278" s="7" t="str">
        <f aca="false">IF(A278&lt;&gt;"",SUM($C$6:C278),"")</f>
        <v/>
      </c>
      <c r="E278" s="7" t="str">
        <f aca="false">IF(A278&lt;&gt;"",B$3+D278,"")</f>
        <v/>
      </c>
      <c r="F278" s="7" t="str">
        <f aca="false">IF(A278&lt;&gt;"",MIN(0,E278-MAX($E$6:E278)),"")</f>
        <v/>
      </c>
      <c r="G278" s="35" t="str">
        <f aca="false">IF(A278&lt;&gt;"",IFERROR(F278/MAX($E$6:E278),0),"")</f>
        <v/>
      </c>
    </row>
    <row r="279" customFormat="false" ht="15" hidden="false" customHeight="false" outlineLevel="0" collapsed="false">
      <c r="A279" s="9" t="str">
        <f aca="false">IF('📋 Trade Log'!B277&lt;&gt;"",'📋 Trade Log'!A277,"")</f>
        <v/>
      </c>
      <c r="B279" s="10" t="str">
        <f aca="false">IF('📋 Trade Log'!B277&lt;&gt;"",'📋 Trade Log'!B277,"")</f>
        <v/>
      </c>
      <c r="C279" s="12" t="str">
        <f aca="false">IF('📋 Trade Log'!L277&lt;&gt;"",'📋 Trade Log'!L277,"")</f>
        <v/>
      </c>
      <c r="D279" s="12" t="str">
        <f aca="false">IF(A279&lt;&gt;"",SUM($C$6:C279),"")</f>
        <v/>
      </c>
      <c r="E279" s="12" t="str">
        <f aca="false">IF(A279&lt;&gt;"",B$3+D279,"")</f>
        <v/>
      </c>
      <c r="F279" s="12" t="str">
        <f aca="false">IF(A279&lt;&gt;"",MIN(0,E279-MAX($E$6:E279)),"")</f>
        <v/>
      </c>
      <c r="G279" s="36" t="str">
        <f aca="false">IF(A279&lt;&gt;"",IFERROR(F279/MAX($E$6:E279),0),"")</f>
        <v/>
      </c>
    </row>
    <row r="280" customFormat="false" ht="15" hidden="false" customHeight="false" outlineLevel="0" collapsed="false">
      <c r="A280" s="4" t="str">
        <f aca="false">IF('📋 Trade Log'!B278&lt;&gt;"",'📋 Trade Log'!A278,"")</f>
        <v/>
      </c>
      <c r="B280" s="5" t="str">
        <f aca="false">IF('📋 Trade Log'!B278&lt;&gt;"",'📋 Trade Log'!B278,"")</f>
        <v/>
      </c>
      <c r="C280" s="7" t="str">
        <f aca="false">IF('📋 Trade Log'!L278&lt;&gt;"",'📋 Trade Log'!L278,"")</f>
        <v/>
      </c>
      <c r="D280" s="7" t="str">
        <f aca="false">IF(A280&lt;&gt;"",SUM($C$6:C280),"")</f>
        <v/>
      </c>
      <c r="E280" s="7" t="str">
        <f aca="false">IF(A280&lt;&gt;"",B$3+D280,"")</f>
        <v/>
      </c>
      <c r="F280" s="7" t="str">
        <f aca="false">IF(A280&lt;&gt;"",MIN(0,E280-MAX($E$6:E280)),"")</f>
        <v/>
      </c>
      <c r="G280" s="35" t="str">
        <f aca="false">IF(A280&lt;&gt;"",IFERROR(F280/MAX($E$6:E280),0),"")</f>
        <v/>
      </c>
    </row>
    <row r="281" customFormat="false" ht="15" hidden="false" customHeight="false" outlineLevel="0" collapsed="false">
      <c r="A281" s="9" t="str">
        <f aca="false">IF('📋 Trade Log'!B279&lt;&gt;"",'📋 Trade Log'!A279,"")</f>
        <v/>
      </c>
      <c r="B281" s="10" t="str">
        <f aca="false">IF('📋 Trade Log'!B279&lt;&gt;"",'📋 Trade Log'!B279,"")</f>
        <v/>
      </c>
      <c r="C281" s="12" t="str">
        <f aca="false">IF('📋 Trade Log'!L279&lt;&gt;"",'📋 Trade Log'!L279,"")</f>
        <v/>
      </c>
      <c r="D281" s="12" t="str">
        <f aca="false">IF(A281&lt;&gt;"",SUM($C$6:C281),"")</f>
        <v/>
      </c>
      <c r="E281" s="12" t="str">
        <f aca="false">IF(A281&lt;&gt;"",B$3+D281,"")</f>
        <v/>
      </c>
      <c r="F281" s="12" t="str">
        <f aca="false">IF(A281&lt;&gt;"",MIN(0,E281-MAX($E$6:E281)),"")</f>
        <v/>
      </c>
      <c r="G281" s="36" t="str">
        <f aca="false">IF(A281&lt;&gt;"",IFERROR(F281/MAX($E$6:E281),0),"")</f>
        <v/>
      </c>
    </row>
    <row r="282" customFormat="false" ht="15" hidden="false" customHeight="false" outlineLevel="0" collapsed="false">
      <c r="A282" s="4" t="str">
        <f aca="false">IF('📋 Trade Log'!B280&lt;&gt;"",'📋 Trade Log'!A280,"")</f>
        <v/>
      </c>
      <c r="B282" s="5" t="str">
        <f aca="false">IF('📋 Trade Log'!B280&lt;&gt;"",'📋 Trade Log'!B280,"")</f>
        <v/>
      </c>
      <c r="C282" s="7" t="str">
        <f aca="false">IF('📋 Trade Log'!L280&lt;&gt;"",'📋 Trade Log'!L280,"")</f>
        <v/>
      </c>
      <c r="D282" s="7" t="str">
        <f aca="false">IF(A282&lt;&gt;"",SUM($C$6:C282),"")</f>
        <v/>
      </c>
      <c r="E282" s="7" t="str">
        <f aca="false">IF(A282&lt;&gt;"",B$3+D282,"")</f>
        <v/>
      </c>
      <c r="F282" s="7" t="str">
        <f aca="false">IF(A282&lt;&gt;"",MIN(0,E282-MAX($E$6:E282)),"")</f>
        <v/>
      </c>
      <c r="G282" s="35" t="str">
        <f aca="false">IF(A282&lt;&gt;"",IFERROR(F282/MAX($E$6:E282),0),"")</f>
        <v/>
      </c>
    </row>
    <row r="283" customFormat="false" ht="15" hidden="false" customHeight="false" outlineLevel="0" collapsed="false">
      <c r="A283" s="9" t="str">
        <f aca="false">IF('📋 Trade Log'!B281&lt;&gt;"",'📋 Trade Log'!A281,"")</f>
        <v/>
      </c>
      <c r="B283" s="10" t="str">
        <f aca="false">IF('📋 Trade Log'!B281&lt;&gt;"",'📋 Trade Log'!B281,"")</f>
        <v/>
      </c>
      <c r="C283" s="12" t="str">
        <f aca="false">IF('📋 Trade Log'!L281&lt;&gt;"",'📋 Trade Log'!L281,"")</f>
        <v/>
      </c>
      <c r="D283" s="12" t="str">
        <f aca="false">IF(A283&lt;&gt;"",SUM($C$6:C283),"")</f>
        <v/>
      </c>
      <c r="E283" s="12" t="str">
        <f aca="false">IF(A283&lt;&gt;"",B$3+D283,"")</f>
        <v/>
      </c>
      <c r="F283" s="12" t="str">
        <f aca="false">IF(A283&lt;&gt;"",MIN(0,E283-MAX($E$6:E283)),"")</f>
        <v/>
      </c>
      <c r="G283" s="36" t="str">
        <f aca="false">IF(A283&lt;&gt;"",IFERROR(F283/MAX($E$6:E283),0),"")</f>
        <v/>
      </c>
    </row>
    <row r="284" customFormat="false" ht="15" hidden="false" customHeight="false" outlineLevel="0" collapsed="false">
      <c r="A284" s="4" t="str">
        <f aca="false">IF('📋 Trade Log'!B282&lt;&gt;"",'📋 Trade Log'!A282,"")</f>
        <v/>
      </c>
      <c r="B284" s="5" t="str">
        <f aca="false">IF('📋 Trade Log'!B282&lt;&gt;"",'📋 Trade Log'!B282,"")</f>
        <v/>
      </c>
      <c r="C284" s="7" t="str">
        <f aca="false">IF('📋 Trade Log'!L282&lt;&gt;"",'📋 Trade Log'!L282,"")</f>
        <v/>
      </c>
      <c r="D284" s="7" t="str">
        <f aca="false">IF(A284&lt;&gt;"",SUM($C$6:C284),"")</f>
        <v/>
      </c>
      <c r="E284" s="7" t="str">
        <f aca="false">IF(A284&lt;&gt;"",B$3+D284,"")</f>
        <v/>
      </c>
      <c r="F284" s="7" t="str">
        <f aca="false">IF(A284&lt;&gt;"",MIN(0,E284-MAX($E$6:E284)),"")</f>
        <v/>
      </c>
      <c r="G284" s="35" t="str">
        <f aca="false">IF(A284&lt;&gt;"",IFERROR(F284/MAX($E$6:E284),0),"")</f>
        <v/>
      </c>
    </row>
    <row r="285" customFormat="false" ht="15" hidden="false" customHeight="false" outlineLevel="0" collapsed="false">
      <c r="A285" s="9" t="str">
        <f aca="false">IF('📋 Trade Log'!B283&lt;&gt;"",'📋 Trade Log'!A283,"")</f>
        <v/>
      </c>
      <c r="B285" s="10" t="str">
        <f aca="false">IF('📋 Trade Log'!B283&lt;&gt;"",'📋 Trade Log'!B283,"")</f>
        <v/>
      </c>
      <c r="C285" s="12" t="str">
        <f aca="false">IF('📋 Trade Log'!L283&lt;&gt;"",'📋 Trade Log'!L283,"")</f>
        <v/>
      </c>
      <c r="D285" s="12" t="str">
        <f aca="false">IF(A285&lt;&gt;"",SUM($C$6:C285),"")</f>
        <v/>
      </c>
      <c r="E285" s="12" t="str">
        <f aca="false">IF(A285&lt;&gt;"",B$3+D285,"")</f>
        <v/>
      </c>
      <c r="F285" s="12" t="str">
        <f aca="false">IF(A285&lt;&gt;"",MIN(0,E285-MAX($E$6:E285)),"")</f>
        <v/>
      </c>
      <c r="G285" s="36" t="str">
        <f aca="false">IF(A285&lt;&gt;"",IFERROR(F285/MAX($E$6:E285),0),"")</f>
        <v/>
      </c>
    </row>
    <row r="286" customFormat="false" ht="15" hidden="false" customHeight="false" outlineLevel="0" collapsed="false">
      <c r="A286" s="4" t="str">
        <f aca="false">IF('📋 Trade Log'!B284&lt;&gt;"",'📋 Trade Log'!A284,"")</f>
        <v/>
      </c>
      <c r="B286" s="5" t="str">
        <f aca="false">IF('📋 Trade Log'!B284&lt;&gt;"",'📋 Trade Log'!B284,"")</f>
        <v/>
      </c>
      <c r="C286" s="7" t="str">
        <f aca="false">IF('📋 Trade Log'!L284&lt;&gt;"",'📋 Trade Log'!L284,"")</f>
        <v/>
      </c>
      <c r="D286" s="7" t="str">
        <f aca="false">IF(A286&lt;&gt;"",SUM($C$6:C286),"")</f>
        <v/>
      </c>
      <c r="E286" s="7" t="str">
        <f aca="false">IF(A286&lt;&gt;"",B$3+D286,"")</f>
        <v/>
      </c>
      <c r="F286" s="7" t="str">
        <f aca="false">IF(A286&lt;&gt;"",MIN(0,E286-MAX($E$6:E286)),"")</f>
        <v/>
      </c>
      <c r="G286" s="35" t="str">
        <f aca="false">IF(A286&lt;&gt;"",IFERROR(F286/MAX($E$6:E286),0),"")</f>
        <v/>
      </c>
    </row>
    <row r="287" customFormat="false" ht="15" hidden="false" customHeight="false" outlineLevel="0" collapsed="false">
      <c r="A287" s="9" t="str">
        <f aca="false">IF('📋 Trade Log'!B285&lt;&gt;"",'📋 Trade Log'!A285,"")</f>
        <v/>
      </c>
      <c r="B287" s="10" t="str">
        <f aca="false">IF('📋 Trade Log'!B285&lt;&gt;"",'📋 Trade Log'!B285,"")</f>
        <v/>
      </c>
      <c r="C287" s="12" t="str">
        <f aca="false">IF('📋 Trade Log'!L285&lt;&gt;"",'📋 Trade Log'!L285,"")</f>
        <v/>
      </c>
      <c r="D287" s="12" t="str">
        <f aca="false">IF(A287&lt;&gt;"",SUM($C$6:C287),"")</f>
        <v/>
      </c>
      <c r="E287" s="12" t="str">
        <f aca="false">IF(A287&lt;&gt;"",B$3+D287,"")</f>
        <v/>
      </c>
      <c r="F287" s="12" t="str">
        <f aca="false">IF(A287&lt;&gt;"",MIN(0,E287-MAX($E$6:E287)),"")</f>
        <v/>
      </c>
      <c r="G287" s="36" t="str">
        <f aca="false">IF(A287&lt;&gt;"",IFERROR(F287/MAX($E$6:E287),0),"")</f>
        <v/>
      </c>
    </row>
    <row r="288" customFormat="false" ht="15" hidden="false" customHeight="false" outlineLevel="0" collapsed="false">
      <c r="A288" s="4" t="str">
        <f aca="false">IF('📋 Trade Log'!B286&lt;&gt;"",'📋 Trade Log'!A286,"")</f>
        <v/>
      </c>
      <c r="B288" s="5" t="str">
        <f aca="false">IF('📋 Trade Log'!B286&lt;&gt;"",'📋 Trade Log'!B286,"")</f>
        <v/>
      </c>
      <c r="C288" s="7" t="str">
        <f aca="false">IF('📋 Trade Log'!L286&lt;&gt;"",'📋 Trade Log'!L286,"")</f>
        <v/>
      </c>
      <c r="D288" s="7" t="str">
        <f aca="false">IF(A288&lt;&gt;"",SUM($C$6:C288),"")</f>
        <v/>
      </c>
      <c r="E288" s="7" t="str">
        <f aca="false">IF(A288&lt;&gt;"",B$3+D288,"")</f>
        <v/>
      </c>
      <c r="F288" s="7" t="str">
        <f aca="false">IF(A288&lt;&gt;"",MIN(0,E288-MAX($E$6:E288)),"")</f>
        <v/>
      </c>
      <c r="G288" s="35" t="str">
        <f aca="false">IF(A288&lt;&gt;"",IFERROR(F288/MAX($E$6:E288),0),"")</f>
        <v/>
      </c>
    </row>
    <row r="289" customFormat="false" ht="15" hidden="false" customHeight="false" outlineLevel="0" collapsed="false">
      <c r="A289" s="9" t="str">
        <f aca="false">IF('📋 Trade Log'!B287&lt;&gt;"",'📋 Trade Log'!A287,"")</f>
        <v/>
      </c>
      <c r="B289" s="10" t="str">
        <f aca="false">IF('📋 Trade Log'!B287&lt;&gt;"",'📋 Trade Log'!B287,"")</f>
        <v/>
      </c>
      <c r="C289" s="12" t="str">
        <f aca="false">IF('📋 Trade Log'!L287&lt;&gt;"",'📋 Trade Log'!L287,"")</f>
        <v/>
      </c>
      <c r="D289" s="12" t="str">
        <f aca="false">IF(A289&lt;&gt;"",SUM($C$6:C289),"")</f>
        <v/>
      </c>
      <c r="E289" s="12" t="str">
        <f aca="false">IF(A289&lt;&gt;"",B$3+D289,"")</f>
        <v/>
      </c>
      <c r="F289" s="12" t="str">
        <f aca="false">IF(A289&lt;&gt;"",MIN(0,E289-MAX($E$6:E289)),"")</f>
        <v/>
      </c>
      <c r="G289" s="36" t="str">
        <f aca="false">IF(A289&lt;&gt;"",IFERROR(F289/MAX($E$6:E289),0),"")</f>
        <v/>
      </c>
    </row>
    <row r="290" customFormat="false" ht="15" hidden="false" customHeight="false" outlineLevel="0" collapsed="false">
      <c r="A290" s="4" t="str">
        <f aca="false">IF('📋 Trade Log'!B288&lt;&gt;"",'📋 Trade Log'!A288,"")</f>
        <v/>
      </c>
      <c r="B290" s="5" t="str">
        <f aca="false">IF('📋 Trade Log'!B288&lt;&gt;"",'📋 Trade Log'!B288,"")</f>
        <v/>
      </c>
      <c r="C290" s="7" t="str">
        <f aca="false">IF('📋 Trade Log'!L288&lt;&gt;"",'📋 Trade Log'!L288,"")</f>
        <v/>
      </c>
      <c r="D290" s="7" t="str">
        <f aca="false">IF(A290&lt;&gt;"",SUM($C$6:C290),"")</f>
        <v/>
      </c>
      <c r="E290" s="7" t="str">
        <f aca="false">IF(A290&lt;&gt;"",B$3+D290,"")</f>
        <v/>
      </c>
      <c r="F290" s="7" t="str">
        <f aca="false">IF(A290&lt;&gt;"",MIN(0,E290-MAX($E$6:E290)),"")</f>
        <v/>
      </c>
      <c r="G290" s="35" t="str">
        <f aca="false">IF(A290&lt;&gt;"",IFERROR(F290/MAX($E$6:E290),0),"")</f>
        <v/>
      </c>
    </row>
    <row r="291" customFormat="false" ht="15" hidden="false" customHeight="false" outlineLevel="0" collapsed="false">
      <c r="A291" s="9" t="str">
        <f aca="false">IF('📋 Trade Log'!B289&lt;&gt;"",'📋 Trade Log'!A289,"")</f>
        <v/>
      </c>
      <c r="B291" s="10" t="str">
        <f aca="false">IF('📋 Trade Log'!B289&lt;&gt;"",'📋 Trade Log'!B289,"")</f>
        <v/>
      </c>
      <c r="C291" s="12" t="str">
        <f aca="false">IF('📋 Trade Log'!L289&lt;&gt;"",'📋 Trade Log'!L289,"")</f>
        <v/>
      </c>
      <c r="D291" s="12" t="str">
        <f aca="false">IF(A291&lt;&gt;"",SUM($C$6:C291),"")</f>
        <v/>
      </c>
      <c r="E291" s="12" t="str">
        <f aca="false">IF(A291&lt;&gt;"",B$3+D291,"")</f>
        <v/>
      </c>
      <c r="F291" s="12" t="str">
        <f aca="false">IF(A291&lt;&gt;"",MIN(0,E291-MAX($E$6:E291)),"")</f>
        <v/>
      </c>
      <c r="G291" s="36" t="str">
        <f aca="false">IF(A291&lt;&gt;"",IFERROR(F291/MAX($E$6:E291),0),"")</f>
        <v/>
      </c>
    </row>
    <row r="292" customFormat="false" ht="15" hidden="false" customHeight="false" outlineLevel="0" collapsed="false">
      <c r="A292" s="4" t="str">
        <f aca="false">IF('📋 Trade Log'!B290&lt;&gt;"",'📋 Trade Log'!A290,"")</f>
        <v/>
      </c>
      <c r="B292" s="5" t="str">
        <f aca="false">IF('📋 Trade Log'!B290&lt;&gt;"",'📋 Trade Log'!B290,"")</f>
        <v/>
      </c>
      <c r="C292" s="7" t="str">
        <f aca="false">IF('📋 Trade Log'!L290&lt;&gt;"",'📋 Trade Log'!L290,"")</f>
        <v/>
      </c>
      <c r="D292" s="7" t="str">
        <f aca="false">IF(A292&lt;&gt;"",SUM($C$6:C292),"")</f>
        <v/>
      </c>
      <c r="E292" s="7" t="str">
        <f aca="false">IF(A292&lt;&gt;"",B$3+D292,"")</f>
        <v/>
      </c>
      <c r="F292" s="7" t="str">
        <f aca="false">IF(A292&lt;&gt;"",MIN(0,E292-MAX($E$6:E292)),"")</f>
        <v/>
      </c>
      <c r="G292" s="35" t="str">
        <f aca="false">IF(A292&lt;&gt;"",IFERROR(F292/MAX($E$6:E292),0),"")</f>
        <v/>
      </c>
    </row>
    <row r="293" customFormat="false" ht="15" hidden="false" customHeight="false" outlineLevel="0" collapsed="false">
      <c r="A293" s="9" t="str">
        <f aca="false">IF('📋 Trade Log'!B291&lt;&gt;"",'📋 Trade Log'!A291,"")</f>
        <v/>
      </c>
      <c r="B293" s="10" t="str">
        <f aca="false">IF('📋 Trade Log'!B291&lt;&gt;"",'📋 Trade Log'!B291,"")</f>
        <v/>
      </c>
      <c r="C293" s="12" t="str">
        <f aca="false">IF('📋 Trade Log'!L291&lt;&gt;"",'📋 Trade Log'!L291,"")</f>
        <v/>
      </c>
      <c r="D293" s="12" t="str">
        <f aca="false">IF(A293&lt;&gt;"",SUM($C$6:C293),"")</f>
        <v/>
      </c>
      <c r="E293" s="12" t="str">
        <f aca="false">IF(A293&lt;&gt;"",B$3+D293,"")</f>
        <v/>
      </c>
      <c r="F293" s="12" t="str">
        <f aca="false">IF(A293&lt;&gt;"",MIN(0,E293-MAX($E$6:E293)),"")</f>
        <v/>
      </c>
      <c r="G293" s="36" t="str">
        <f aca="false">IF(A293&lt;&gt;"",IFERROR(F293/MAX($E$6:E293),0),"")</f>
        <v/>
      </c>
    </row>
    <row r="294" customFormat="false" ht="15" hidden="false" customHeight="false" outlineLevel="0" collapsed="false">
      <c r="A294" s="4" t="str">
        <f aca="false">IF('📋 Trade Log'!B292&lt;&gt;"",'📋 Trade Log'!A292,"")</f>
        <v/>
      </c>
      <c r="B294" s="5" t="str">
        <f aca="false">IF('📋 Trade Log'!B292&lt;&gt;"",'📋 Trade Log'!B292,"")</f>
        <v/>
      </c>
      <c r="C294" s="7" t="str">
        <f aca="false">IF('📋 Trade Log'!L292&lt;&gt;"",'📋 Trade Log'!L292,"")</f>
        <v/>
      </c>
      <c r="D294" s="7" t="str">
        <f aca="false">IF(A294&lt;&gt;"",SUM($C$6:C294),"")</f>
        <v/>
      </c>
      <c r="E294" s="7" t="str">
        <f aca="false">IF(A294&lt;&gt;"",B$3+D294,"")</f>
        <v/>
      </c>
      <c r="F294" s="7" t="str">
        <f aca="false">IF(A294&lt;&gt;"",MIN(0,E294-MAX($E$6:E294)),"")</f>
        <v/>
      </c>
      <c r="G294" s="35" t="str">
        <f aca="false">IF(A294&lt;&gt;"",IFERROR(F294/MAX($E$6:E294),0),"")</f>
        <v/>
      </c>
    </row>
    <row r="295" customFormat="false" ht="15" hidden="false" customHeight="false" outlineLevel="0" collapsed="false">
      <c r="A295" s="9" t="str">
        <f aca="false">IF('📋 Trade Log'!B293&lt;&gt;"",'📋 Trade Log'!A293,"")</f>
        <v/>
      </c>
      <c r="B295" s="10" t="str">
        <f aca="false">IF('📋 Trade Log'!B293&lt;&gt;"",'📋 Trade Log'!B293,"")</f>
        <v/>
      </c>
      <c r="C295" s="12" t="str">
        <f aca="false">IF('📋 Trade Log'!L293&lt;&gt;"",'📋 Trade Log'!L293,"")</f>
        <v/>
      </c>
      <c r="D295" s="12" t="str">
        <f aca="false">IF(A295&lt;&gt;"",SUM($C$6:C295),"")</f>
        <v/>
      </c>
      <c r="E295" s="12" t="str">
        <f aca="false">IF(A295&lt;&gt;"",B$3+D295,"")</f>
        <v/>
      </c>
      <c r="F295" s="12" t="str">
        <f aca="false">IF(A295&lt;&gt;"",MIN(0,E295-MAX($E$6:E295)),"")</f>
        <v/>
      </c>
      <c r="G295" s="36" t="str">
        <f aca="false">IF(A295&lt;&gt;"",IFERROR(F295/MAX($E$6:E295),0),"")</f>
        <v/>
      </c>
    </row>
    <row r="296" customFormat="false" ht="15" hidden="false" customHeight="false" outlineLevel="0" collapsed="false">
      <c r="A296" s="4" t="str">
        <f aca="false">IF('📋 Trade Log'!B294&lt;&gt;"",'📋 Trade Log'!A294,"")</f>
        <v/>
      </c>
      <c r="B296" s="5" t="str">
        <f aca="false">IF('📋 Trade Log'!B294&lt;&gt;"",'📋 Trade Log'!B294,"")</f>
        <v/>
      </c>
      <c r="C296" s="7" t="str">
        <f aca="false">IF('📋 Trade Log'!L294&lt;&gt;"",'📋 Trade Log'!L294,"")</f>
        <v/>
      </c>
      <c r="D296" s="7" t="str">
        <f aca="false">IF(A296&lt;&gt;"",SUM($C$6:C296),"")</f>
        <v/>
      </c>
      <c r="E296" s="7" t="str">
        <f aca="false">IF(A296&lt;&gt;"",B$3+D296,"")</f>
        <v/>
      </c>
      <c r="F296" s="7" t="str">
        <f aca="false">IF(A296&lt;&gt;"",MIN(0,E296-MAX($E$6:E296)),"")</f>
        <v/>
      </c>
      <c r="G296" s="35" t="str">
        <f aca="false">IF(A296&lt;&gt;"",IFERROR(F296/MAX($E$6:E296),0),"")</f>
        <v/>
      </c>
    </row>
    <row r="297" customFormat="false" ht="15" hidden="false" customHeight="false" outlineLevel="0" collapsed="false">
      <c r="A297" s="9" t="str">
        <f aca="false">IF('📋 Trade Log'!B295&lt;&gt;"",'📋 Trade Log'!A295,"")</f>
        <v/>
      </c>
      <c r="B297" s="10" t="str">
        <f aca="false">IF('📋 Trade Log'!B295&lt;&gt;"",'📋 Trade Log'!B295,"")</f>
        <v/>
      </c>
      <c r="C297" s="12" t="str">
        <f aca="false">IF('📋 Trade Log'!L295&lt;&gt;"",'📋 Trade Log'!L295,"")</f>
        <v/>
      </c>
      <c r="D297" s="12" t="str">
        <f aca="false">IF(A297&lt;&gt;"",SUM($C$6:C297),"")</f>
        <v/>
      </c>
      <c r="E297" s="12" t="str">
        <f aca="false">IF(A297&lt;&gt;"",B$3+D297,"")</f>
        <v/>
      </c>
      <c r="F297" s="12" t="str">
        <f aca="false">IF(A297&lt;&gt;"",MIN(0,E297-MAX($E$6:E297)),"")</f>
        <v/>
      </c>
      <c r="G297" s="36" t="str">
        <f aca="false">IF(A297&lt;&gt;"",IFERROR(F297/MAX($E$6:E297),0),"")</f>
        <v/>
      </c>
    </row>
    <row r="298" customFormat="false" ht="15" hidden="false" customHeight="false" outlineLevel="0" collapsed="false">
      <c r="A298" s="4" t="str">
        <f aca="false">IF('📋 Trade Log'!B296&lt;&gt;"",'📋 Trade Log'!A296,"")</f>
        <v/>
      </c>
      <c r="B298" s="5" t="str">
        <f aca="false">IF('📋 Trade Log'!B296&lt;&gt;"",'📋 Trade Log'!B296,"")</f>
        <v/>
      </c>
      <c r="C298" s="7" t="str">
        <f aca="false">IF('📋 Trade Log'!L296&lt;&gt;"",'📋 Trade Log'!L296,"")</f>
        <v/>
      </c>
      <c r="D298" s="7" t="str">
        <f aca="false">IF(A298&lt;&gt;"",SUM($C$6:C298),"")</f>
        <v/>
      </c>
      <c r="E298" s="7" t="str">
        <f aca="false">IF(A298&lt;&gt;"",B$3+D298,"")</f>
        <v/>
      </c>
      <c r="F298" s="7" t="str">
        <f aca="false">IF(A298&lt;&gt;"",MIN(0,E298-MAX($E$6:E298)),"")</f>
        <v/>
      </c>
      <c r="G298" s="35" t="str">
        <f aca="false">IF(A298&lt;&gt;"",IFERROR(F298/MAX($E$6:E298),0),"")</f>
        <v/>
      </c>
    </row>
    <row r="299" customFormat="false" ht="15" hidden="false" customHeight="false" outlineLevel="0" collapsed="false">
      <c r="A299" s="9" t="str">
        <f aca="false">IF('📋 Trade Log'!B297&lt;&gt;"",'📋 Trade Log'!A297,"")</f>
        <v/>
      </c>
      <c r="B299" s="10" t="str">
        <f aca="false">IF('📋 Trade Log'!B297&lt;&gt;"",'📋 Trade Log'!B297,"")</f>
        <v/>
      </c>
      <c r="C299" s="12" t="str">
        <f aca="false">IF('📋 Trade Log'!L297&lt;&gt;"",'📋 Trade Log'!L297,"")</f>
        <v/>
      </c>
      <c r="D299" s="12" t="str">
        <f aca="false">IF(A299&lt;&gt;"",SUM($C$6:C299),"")</f>
        <v/>
      </c>
      <c r="E299" s="12" t="str">
        <f aca="false">IF(A299&lt;&gt;"",B$3+D299,"")</f>
        <v/>
      </c>
      <c r="F299" s="12" t="str">
        <f aca="false">IF(A299&lt;&gt;"",MIN(0,E299-MAX($E$6:E299)),"")</f>
        <v/>
      </c>
      <c r="G299" s="36" t="str">
        <f aca="false">IF(A299&lt;&gt;"",IFERROR(F299/MAX($E$6:E299),0),"")</f>
        <v/>
      </c>
    </row>
    <row r="300" customFormat="false" ht="15" hidden="false" customHeight="false" outlineLevel="0" collapsed="false">
      <c r="A300" s="4" t="str">
        <f aca="false">IF('📋 Trade Log'!B298&lt;&gt;"",'📋 Trade Log'!A298,"")</f>
        <v/>
      </c>
      <c r="B300" s="5" t="str">
        <f aca="false">IF('📋 Trade Log'!B298&lt;&gt;"",'📋 Trade Log'!B298,"")</f>
        <v/>
      </c>
      <c r="C300" s="7" t="str">
        <f aca="false">IF('📋 Trade Log'!L298&lt;&gt;"",'📋 Trade Log'!L298,"")</f>
        <v/>
      </c>
      <c r="D300" s="7" t="str">
        <f aca="false">IF(A300&lt;&gt;"",SUM($C$6:C300),"")</f>
        <v/>
      </c>
      <c r="E300" s="7" t="str">
        <f aca="false">IF(A300&lt;&gt;"",B$3+D300,"")</f>
        <v/>
      </c>
      <c r="F300" s="7" t="str">
        <f aca="false">IF(A300&lt;&gt;"",MIN(0,E300-MAX($E$6:E300)),"")</f>
        <v/>
      </c>
      <c r="G300" s="35" t="str">
        <f aca="false">IF(A300&lt;&gt;"",IFERROR(F300/MAX($E$6:E300),0),"")</f>
        <v/>
      </c>
    </row>
    <row r="301" customFormat="false" ht="15" hidden="false" customHeight="false" outlineLevel="0" collapsed="false">
      <c r="A301" s="9" t="str">
        <f aca="false">IF('📋 Trade Log'!B299&lt;&gt;"",'📋 Trade Log'!A299,"")</f>
        <v/>
      </c>
      <c r="B301" s="10" t="str">
        <f aca="false">IF('📋 Trade Log'!B299&lt;&gt;"",'📋 Trade Log'!B299,"")</f>
        <v/>
      </c>
      <c r="C301" s="12" t="str">
        <f aca="false">IF('📋 Trade Log'!L299&lt;&gt;"",'📋 Trade Log'!L299,"")</f>
        <v/>
      </c>
      <c r="D301" s="12" t="str">
        <f aca="false">IF(A301&lt;&gt;"",SUM($C$6:C301),"")</f>
        <v/>
      </c>
      <c r="E301" s="12" t="str">
        <f aca="false">IF(A301&lt;&gt;"",B$3+D301,"")</f>
        <v/>
      </c>
      <c r="F301" s="12" t="str">
        <f aca="false">IF(A301&lt;&gt;"",MIN(0,E301-MAX($E$6:E301)),"")</f>
        <v/>
      </c>
      <c r="G301" s="36" t="str">
        <f aca="false">IF(A301&lt;&gt;"",IFERROR(F301/MAX($E$6:E301),0),"")</f>
        <v/>
      </c>
    </row>
    <row r="302" customFormat="false" ht="15" hidden="false" customHeight="false" outlineLevel="0" collapsed="false">
      <c r="A302" s="4" t="str">
        <f aca="false">IF('📋 Trade Log'!B300&lt;&gt;"",'📋 Trade Log'!A300,"")</f>
        <v/>
      </c>
      <c r="B302" s="5" t="str">
        <f aca="false">IF('📋 Trade Log'!B300&lt;&gt;"",'📋 Trade Log'!B300,"")</f>
        <v/>
      </c>
      <c r="C302" s="7" t="str">
        <f aca="false">IF('📋 Trade Log'!L300&lt;&gt;"",'📋 Trade Log'!L300,"")</f>
        <v/>
      </c>
      <c r="D302" s="7" t="str">
        <f aca="false">IF(A302&lt;&gt;"",SUM($C$6:C302),"")</f>
        <v/>
      </c>
      <c r="E302" s="7" t="str">
        <f aca="false">IF(A302&lt;&gt;"",B$3+D302,"")</f>
        <v/>
      </c>
      <c r="F302" s="7" t="str">
        <f aca="false">IF(A302&lt;&gt;"",MIN(0,E302-MAX($E$6:E302)),"")</f>
        <v/>
      </c>
      <c r="G302" s="35" t="str">
        <f aca="false">IF(A302&lt;&gt;"",IFERROR(F302/MAX($E$6:E302),0),"")</f>
        <v/>
      </c>
    </row>
    <row r="303" customFormat="false" ht="15" hidden="false" customHeight="false" outlineLevel="0" collapsed="false">
      <c r="A303" s="9" t="str">
        <f aca="false">IF('📋 Trade Log'!B301&lt;&gt;"",'📋 Trade Log'!A301,"")</f>
        <v/>
      </c>
      <c r="B303" s="10" t="str">
        <f aca="false">IF('📋 Trade Log'!B301&lt;&gt;"",'📋 Trade Log'!B301,"")</f>
        <v/>
      </c>
      <c r="C303" s="12" t="str">
        <f aca="false">IF('📋 Trade Log'!L301&lt;&gt;"",'📋 Trade Log'!L301,"")</f>
        <v/>
      </c>
      <c r="D303" s="12" t="str">
        <f aca="false">IF(A303&lt;&gt;"",SUM($C$6:C303),"")</f>
        <v/>
      </c>
      <c r="E303" s="12" t="str">
        <f aca="false">IF(A303&lt;&gt;"",B$3+D303,"")</f>
        <v/>
      </c>
      <c r="F303" s="12" t="str">
        <f aca="false">IF(A303&lt;&gt;"",MIN(0,E303-MAX($E$6:E303)),"")</f>
        <v/>
      </c>
      <c r="G303" s="36" t="str">
        <f aca="false">IF(A303&lt;&gt;"",IFERROR(F303/MAX($E$6:E303),0),"")</f>
        <v/>
      </c>
    </row>
    <row r="304" customFormat="false" ht="15" hidden="false" customHeight="false" outlineLevel="0" collapsed="false">
      <c r="A304" s="4" t="str">
        <f aca="false">IF('📋 Trade Log'!B302&lt;&gt;"",'📋 Trade Log'!A302,"")</f>
        <v/>
      </c>
      <c r="B304" s="5" t="str">
        <f aca="false">IF('📋 Trade Log'!B302&lt;&gt;"",'📋 Trade Log'!B302,"")</f>
        <v/>
      </c>
      <c r="C304" s="7" t="str">
        <f aca="false">IF('📋 Trade Log'!L302&lt;&gt;"",'📋 Trade Log'!L302,"")</f>
        <v/>
      </c>
      <c r="D304" s="7" t="str">
        <f aca="false">IF(A304&lt;&gt;"",SUM($C$6:C304),"")</f>
        <v/>
      </c>
      <c r="E304" s="7" t="str">
        <f aca="false">IF(A304&lt;&gt;"",B$3+D304,"")</f>
        <v/>
      </c>
      <c r="F304" s="7" t="str">
        <f aca="false">IF(A304&lt;&gt;"",MIN(0,E304-MAX($E$6:E304)),"")</f>
        <v/>
      </c>
      <c r="G304" s="35" t="str">
        <f aca="false">IF(A304&lt;&gt;"",IFERROR(F304/MAX($E$6:E304),0),"")</f>
        <v/>
      </c>
    </row>
    <row r="305" customFormat="false" ht="15" hidden="false" customHeight="false" outlineLevel="0" collapsed="false">
      <c r="A305" s="9" t="str">
        <f aca="false">IF('📋 Trade Log'!B303&lt;&gt;"",'📋 Trade Log'!A303,"")</f>
        <v/>
      </c>
      <c r="B305" s="10" t="str">
        <f aca="false">IF('📋 Trade Log'!B303&lt;&gt;"",'📋 Trade Log'!B303,"")</f>
        <v/>
      </c>
      <c r="C305" s="12" t="str">
        <f aca="false">IF('📋 Trade Log'!L303&lt;&gt;"",'📋 Trade Log'!L303,"")</f>
        <v/>
      </c>
      <c r="D305" s="12" t="str">
        <f aca="false">IF(A305&lt;&gt;"",SUM($C$6:C305),"")</f>
        <v/>
      </c>
      <c r="E305" s="12" t="str">
        <f aca="false">IF(A305&lt;&gt;"",B$3+D305,"")</f>
        <v/>
      </c>
      <c r="F305" s="12" t="str">
        <f aca="false">IF(A305&lt;&gt;"",MIN(0,E305-MAX($E$6:E305)),"")</f>
        <v/>
      </c>
      <c r="G305" s="36" t="str">
        <f aca="false">IF(A305&lt;&gt;"",IFERROR(F305/MAX($E$6:E305),0),"")</f>
        <v/>
      </c>
    </row>
    <row r="306" customFormat="false" ht="15" hidden="false" customHeight="false" outlineLevel="0" collapsed="false">
      <c r="A306" s="4" t="str">
        <f aca="false">IF('📋 Trade Log'!B304&lt;&gt;"",'📋 Trade Log'!A304,"")</f>
        <v/>
      </c>
      <c r="B306" s="5" t="str">
        <f aca="false">IF('📋 Trade Log'!B304&lt;&gt;"",'📋 Trade Log'!B304,"")</f>
        <v/>
      </c>
      <c r="C306" s="7" t="str">
        <f aca="false">IF('📋 Trade Log'!L304&lt;&gt;"",'📋 Trade Log'!L304,"")</f>
        <v/>
      </c>
      <c r="D306" s="7" t="str">
        <f aca="false">IF(A306&lt;&gt;"",SUM($C$6:C306),"")</f>
        <v/>
      </c>
      <c r="E306" s="7" t="str">
        <f aca="false">IF(A306&lt;&gt;"",B$3+D306,"")</f>
        <v/>
      </c>
      <c r="F306" s="7" t="str">
        <f aca="false">IF(A306&lt;&gt;"",MIN(0,E306-MAX($E$6:E306)),"")</f>
        <v/>
      </c>
      <c r="G306" s="35" t="str">
        <f aca="false">IF(A306&lt;&gt;"",IFERROR(F306/MAX($E$6:E306),0),"")</f>
        <v/>
      </c>
    </row>
    <row r="307" customFormat="false" ht="15" hidden="false" customHeight="false" outlineLevel="0" collapsed="false">
      <c r="A307" s="9" t="str">
        <f aca="false">IF('📋 Trade Log'!B305&lt;&gt;"",'📋 Trade Log'!A305,"")</f>
        <v/>
      </c>
      <c r="B307" s="10" t="str">
        <f aca="false">IF('📋 Trade Log'!B305&lt;&gt;"",'📋 Trade Log'!B305,"")</f>
        <v/>
      </c>
      <c r="C307" s="12" t="str">
        <f aca="false">IF('📋 Trade Log'!L305&lt;&gt;"",'📋 Trade Log'!L305,"")</f>
        <v/>
      </c>
      <c r="D307" s="12" t="str">
        <f aca="false">IF(A307&lt;&gt;"",SUM($C$6:C307),"")</f>
        <v/>
      </c>
      <c r="E307" s="12" t="str">
        <f aca="false">IF(A307&lt;&gt;"",B$3+D307,"")</f>
        <v/>
      </c>
      <c r="F307" s="12" t="str">
        <f aca="false">IF(A307&lt;&gt;"",MIN(0,E307-MAX($E$6:E307)),"")</f>
        <v/>
      </c>
      <c r="G307" s="36" t="str">
        <f aca="false">IF(A307&lt;&gt;"",IFERROR(F307/MAX($E$6:E307),0),"")</f>
        <v/>
      </c>
    </row>
    <row r="308" customFormat="false" ht="15" hidden="false" customHeight="false" outlineLevel="0" collapsed="false">
      <c r="A308" s="4" t="str">
        <f aca="false">IF('📋 Trade Log'!B306&lt;&gt;"",'📋 Trade Log'!A306,"")</f>
        <v/>
      </c>
      <c r="B308" s="5" t="str">
        <f aca="false">IF('📋 Trade Log'!B306&lt;&gt;"",'📋 Trade Log'!B306,"")</f>
        <v/>
      </c>
      <c r="C308" s="7" t="str">
        <f aca="false">IF('📋 Trade Log'!L306&lt;&gt;"",'📋 Trade Log'!L306,"")</f>
        <v/>
      </c>
      <c r="D308" s="7" t="str">
        <f aca="false">IF(A308&lt;&gt;"",SUM($C$6:C308),"")</f>
        <v/>
      </c>
      <c r="E308" s="7" t="str">
        <f aca="false">IF(A308&lt;&gt;"",B$3+D308,"")</f>
        <v/>
      </c>
      <c r="F308" s="7" t="str">
        <f aca="false">IF(A308&lt;&gt;"",MIN(0,E308-MAX($E$6:E308)),"")</f>
        <v/>
      </c>
      <c r="G308" s="35" t="str">
        <f aca="false">IF(A308&lt;&gt;"",IFERROR(F308/MAX($E$6:E308),0),"")</f>
        <v/>
      </c>
    </row>
    <row r="309" customFormat="false" ht="15" hidden="false" customHeight="false" outlineLevel="0" collapsed="false">
      <c r="A309" s="9" t="str">
        <f aca="false">IF('📋 Trade Log'!B307&lt;&gt;"",'📋 Trade Log'!A307,"")</f>
        <v/>
      </c>
      <c r="B309" s="10" t="str">
        <f aca="false">IF('📋 Trade Log'!B307&lt;&gt;"",'📋 Trade Log'!B307,"")</f>
        <v/>
      </c>
      <c r="C309" s="12" t="str">
        <f aca="false">IF('📋 Trade Log'!L307&lt;&gt;"",'📋 Trade Log'!L307,"")</f>
        <v/>
      </c>
      <c r="D309" s="12" t="str">
        <f aca="false">IF(A309&lt;&gt;"",SUM($C$6:C309),"")</f>
        <v/>
      </c>
      <c r="E309" s="12" t="str">
        <f aca="false">IF(A309&lt;&gt;"",B$3+D309,"")</f>
        <v/>
      </c>
      <c r="F309" s="12" t="str">
        <f aca="false">IF(A309&lt;&gt;"",MIN(0,E309-MAX($E$6:E309)),"")</f>
        <v/>
      </c>
      <c r="G309" s="36" t="str">
        <f aca="false">IF(A309&lt;&gt;"",IFERROR(F309/MAX($E$6:E309),0),"")</f>
        <v/>
      </c>
    </row>
    <row r="310" customFormat="false" ht="15" hidden="false" customHeight="false" outlineLevel="0" collapsed="false">
      <c r="A310" s="4" t="str">
        <f aca="false">IF('📋 Trade Log'!B308&lt;&gt;"",'📋 Trade Log'!A308,"")</f>
        <v/>
      </c>
      <c r="B310" s="5" t="str">
        <f aca="false">IF('📋 Trade Log'!B308&lt;&gt;"",'📋 Trade Log'!B308,"")</f>
        <v/>
      </c>
      <c r="C310" s="7" t="str">
        <f aca="false">IF('📋 Trade Log'!L308&lt;&gt;"",'📋 Trade Log'!L308,"")</f>
        <v/>
      </c>
      <c r="D310" s="7" t="str">
        <f aca="false">IF(A310&lt;&gt;"",SUM($C$6:C310),"")</f>
        <v/>
      </c>
      <c r="E310" s="7" t="str">
        <f aca="false">IF(A310&lt;&gt;"",B$3+D310,"")</f>
        <v/>
      </c>
      <c r="F310" s="7" t="str">
        <f aca="false">IF(A310&lt;&gt;"",MIN(0,E310-MAX($E$6:E310)),"")</f>
        <v/>
      </c>
      <c r="G310" s="35" t="str">
        <f aca="false">IF(A310&lt;&gt;"",IFERROR(F310/MAX($E$6:E310),0),"")</f>
        <v/>
      </c>
    </row>
    <row r="311" customFormat="false" ht="15" hidden="false" customHeight="false" outlineLevel="0" collapsed="false">
      <c r="A311" s="9" t="str">
        <f aca="false">IF('📋 Trade Log'!B309&lt;&gt;"",'📋 Trade Log'!A309,"")</f>
        <v/>
      </c>
      <c r="B311" s="10" t="str">
        <f aca="false">IF('📋 Trade Log'!B309&lt;&gt;"",'📋 Trade Log'!B309,"")</f>
        <v/>
      </c>
      <c r="C311" s="12" t="str">
        <f aca="false">IF('📋 Trade Log'!L309&lt;&gt;"",'📋 Trade Log'!L309,"")</f>
        <v/>
      </c>
      <c r="D311" s="12" t="str">
        <f aca="false">IF(A311&lt;&gt;"",SUM($C$6:C311),"")</f>
        <v/>
      </c>
      <c r="E311" s="12" t="str">
        <f aca="false">IF(A311&lt;&gt;"",B$3+D311,"")</f>
        <v/>
      </c>
      <c r="F311" s="12" t="str">
        <f aca="false">IF(A311&lt;&gt;"",MIN(0,E311-MAX($E$6:E311)),"")</f>
        <v/>
      </c>
      <c r="G311" s="36" t="str">
        <f aca="false">IF(A311&lt;&gt;"",IFERROR(F311/MAX($E$6:E311),0),"")</f>
        <v/>
      </c>
    </row>
    <row r="312" customFormat="false" ht="15" hidden="false" customHeight="false" outlineLevel="0" collapsed="false">
      <c r="A312" s="4" t="str">
        <f aca="false">IF('📋 Trade Log'!B310&lt;&gt;"",'📋 Trade Log'!A310,"")</f>
        <v/>
      </c>
      <c r="B312" s="5" t="str">
        <f aca="false">IF('📋 Trade Log'!B310&lt;&gt;"",'📋 Trade Log'!B310,"")</f>
        <v/>
      </c>
      <c r="C312" s="7" t="str">
        <f aca="false">IF('📋 Trade Log'!L310&lt;&gt;"",'📋 Trade Log'!L310,"")</f>
        <v/>
      </c>
      <c r="D312" s="7" t="str">
        <f aca="false">IF(A312&lt;&gt;"",SUM($C$6:C312),"")</f>
        <v/>
      </c>
      <c r="E312" s="7" t="str">
        <f aca="false">IF(A312&lt;&gt;"",B$3+D312,"")</f>
        <v/>
      </c>
      <c r="F312" s="7" t="str">
        <f aca="false">IF(A312&lt;&gt;"",MIN(0,E312-MAX($E$6:E312)),"")</f>
        <v/>
      </c>
      <c r="G312" s="35" t="str">
        <f aca="false">IF(A312&lt;&gt;"",IFERROR(F312/MAX($E$6:E312),0),"")</f>
        <v/>
      </c>
    </row>
    <row r="313" customFormat="false" ht="15" hidden="false" customHeight="false" outlineLevel="0" collapsed="false">
      <c r="A313" s="9" t="str">
        <f aca="false">IF('📋 Trade Log'!B311&lt;&gt;"",'📋 Trade Log'!A311,"")</f>
        <v/>
      </c>
      <c r="B313" s="10" t="str">
        <f aca="false">IF('📋 Trade Log'!B311&lt;&gt;"",'📋 Trade Log'!B311,"")</f>
        <v/>
      </c>
      <c r="C313" s="12" t="str">
        <f aca="false">IF('📋 Trade Log'!L311&lt;&gt;"",'📋 Trade Log'!L311,"")</f>
        <v/>
      </c>
      <c r="D313" s="12" t="str">
        <f aca="false">IF(A313&lt;&gt;"",SUM($C$6:C313),"")</f>
        <v/>
      </c>
      <c r="E313" s="12" t="str">
        <f aca="false">IF(A313&lt;&gt;"",B$3+D313,"")</f>
        <v/>
      </c>
      <c r="F313" s="12" t="str">
        <f aca="false">IF(A313&lt;&gt;"",MIN(0,E313-MAX($E$6:E313)),"")</f>
        <v/>
      </c>
      <c r="G313" s="36" t="str">
        <f aca="false">IF(A313&lt;&gt;"",IFERROR(F313/MAX($E$6:E313),0),"")</f>
        <v/>
      </c>
    </row>
    <row r="314" customFormat="false" ht="15" hidden="false" customHeight="false" outlineLevel="0" collapsed="false">
      <c r="A314" s="4" t="str">
        <f aca="false">IF('📋 Trade Log'!B312&lt;&gt;"",'📋 Trade Log'!A312,"")</f>
        <v/>
      </c>
      <c r="B314" s="5" t="str">
        <f aca="false">IF('📋 Trade Log'!B312&lt;&gt;"",'📋 Trade Log'!B312,"")</f>
        <v/>
      </c>
      <c r="C314" s="7" t="str">
        <f aca="false">IF('📋 Trade Log'!L312&lt;&gt;"",'📋 Trade Log'!L312,"")</f>
        <v/>
      </c>
      <c r="D314" s="7" t="str">
        <f aca="false">IF(A314&lt;&gt;"",SUM($C$6:C314),"")</f>
        <v/>
      </c>
      <c r="E314" s="7" t="str">
        <f aca="false">IF(A314&lt;&gt;"",B$3+D314,"")</f>
        <v/>
      </c>
      <c r="F314" s="7" t="str">
        <f aca="false">IF(A314&lt;&gt;"",MIN(0,E314-MAX($E$6:E314)),"")</f>
        <v/>
      </c>
      <c r="G314" s="35" t="str">
        <f aca="false">IF(A314&lt;&gt;"",IFERROR(F314/MAX($E$6:E314),0),"")</f>
        <v/>
      </c>
    </row>
    <row r="315" customFormat="false" ht="15" hidden="false" customHeight="false" outlineLevel="0" collapsed="false">
      <c r="A315" s="9" t="str">
        <f aca="false">IF('📋 Trade Log'!B313&lt;&gt;"",'📋 Trade Log'!A313,"")</f>
        <v/>
      </c>
      <c r="B315" s="10" t="str">
        <f aca="false">IF('📋 Trade Log'!B313&lt;&gt;"",'📋 Trade Log'!B313,"")</f>
        <v/>
      </c>
      <c r="C315" s="12" t="str">
        <f aca="false">IF('📋 Trade Log'!L313&lt;&gt;"",'📋 Trade Log'!L313,"")</f>
        <v/>
      </c>
      <c r="D315" s="12" t="str">
        <f aca="false">IF(A315&lt;&gt;"",SUM($C$6:C315),"")</f>
        <v/>
      </c>
      <c r="E315" s="12" t="str">
        <f aca="false">IF(A315&lt;&gt;"",B$3+D315,"")</f>
        <v/>
      </c>
      <c r="F315" s="12" t="str">
        <f aca="false">IF(A315&lt;&gt;"",MIN(0,E315-MAX($E$6:E315)),"")</f>
        <v/>
      </c>
      <c r="G315" s="36" t="str">
        <f aca="false">IF(A315&lt;&gt;"",IFERROR(F315/MAX($E$6:E315),0),"")</f>
        <v/>
      </c>
    </row>
    <row r="316" customFormat="false" ht="15" hidden="false" customHeight="false" outlineLevel="0" collapsed="false">
      <c r="A316" s="4" t="str">
        <f aca="false">IF('📋 Trade Log'!B314&lt;&gt;"",'📋 Trade Log'!A314,"")</f>
        <v/>
      </c>
      <c r="B316" s="5" t="str">
        <f aca="false">IF('📋 Trade Log'!B314&lt;&gt;"",'📋 Trade Log'!B314,"")</f>
        <v/>
      </c>
      <c r="C316" s="7" t="str">
        <f aca="false">IF('📋 Trade Log'!L314&lt;&gt;"",'📋 Trade Log'!L314,"")</f>
        <v/>
      </c>
      <c r="D316" s="7" t="str">
        <f aca="false">IF(A316&lt;&gt;"",SUM($C$6:C316),"")</f>
        <v/>
      </c>
      <c r="E316" s="7" t="str">
        <f aca="false">IF(A316&lt;&gt;"",B$3+D316,"")</f>
        <v/>
      </c>
      <c r="F316" s="7" t="str">
        <f aca="false">IF(A316&lt;&gt;"",MIN(0,E316-MAX($E$6:E316)),"")</f>
        <v/>
      </c>
      <c r="G316" s="35" t="str">
        <f aca="false">IF(A316&lt;&gt;"",IFERROR(F316/MAX($E$6:E316),0),"")</f>
        <v/>
      </c>
    </row>
    <row r="317" customFormat="false" ht="15" hidden="false" customHeight="false" outlineLevel="0" collapsed="false">
      <c r="A317" s="9" t="str">
        <f aca="false">IF('📋 Trade Log'!B315&lt;&gt;"",'📋 Trade Log'!A315,"")</f>
        <v/>
      </c>
      <c r="B317" s="10" t="str">
        <f aca="false">IF('📋 Trade Log'!B315&lt;&gt;"",'📋 Trade Log'!B315,"")</f>
        <v/>
      </c>
      <c r="C317" s="12" t="str">
        <f aca="false">IF('📋 Trade Log'!L315&lt;&gt;"",'📋 Trade Log'!L315,"")</f>
        <v/>
      </c>
      <c r="D317" s="12" t="str">
        <f aca="false">IF(A317&lt;&gt;"",SUM($C$6:C317),"")</f>
        <v/>
      </c>
      <c r="E317" s="12" t="str">
        <f aca="false">IF(A317&lt;&gt;"",B$3+D317,"")</f>
        <v/>
      </c>
      <c r="F317" s="12" t="str">
        <f aca="false">IF(A317&lt;&gt;"",MIN(0,E317-MAX($E$6:E317)),"")</f>
        <v/>
      </c>
      <c r="G317" s="36" t="str">
        <f aca="false">IF(A317&lt;&gt;"",IFERROR(F317/MAX($E$6:E317),0),"")</f>
        <v/>
      </c>
    </row>
    <row r="318" customFormat="false" ht="15" hidden="false" customHeight="false" outlineLevel="0" collapsed="false">
      <c r="A318" s="4" t="str">
        <f aca="false">IF('📋 Trade Log'!B316&lt;&gt;"",'📋 Trade Log'!A316,"")</f>
        <v/>
      </c>
      <c r="B318" s="5" t="str">
        <f aca="false">IF('📋 Trade Log'!B316&lt;&gt;"",'📋 Trade Log'!B316,"")</f>
        <v/>
      </c>
      <c r="C318" s="7" t="str">
        <f aca="false">IF('📋 Trade Log'!L316&lt;&gt;"",'📋 Trade Log'!L316,"")</f>
        <v/>
      </c>
      <c r="D318" s="7" t="str">
        <f aca="false">IF(A318&lt;&gt;"",SUM($C$6:C318),"")</f>
        <v/>
      </c>
      <c r="E318" s="7" t="str">
        <f aca="false">IF(A318&lt;&gt;"",B$3+D318,"")</f>
        <v/>
      </c>
      <c r="F318" s="7" t="str">
        <f aca="false">IF(A318&lt;&gt;"",MIN(0,E318-MAX($E$6:E318)),"")</f>
        <v/>
      </c>
      <c r="G318" s="35" t="str">
        <f aca="false">IF(A318&lt;&gt;"",IFERROR(F318/MAX($E$6:E318),0),"")</f>
        <v/>
      </c>
    </row>
    <row r="319" customFormat="false" ht="15" hidden="false" customHeight="false" outlineLevel="0" collapsed="false">
      <c r="A319" s="9" t="str">
        <f aca="false">IF('📋 Trade Log'!B317&lt;&gt;"",'📋 Trade Log'!A317,"")</f>
        <v/>
      </c>
      <c r="B319" s="10" t="str">
        <f aca="false">IF('📋 Trade Log'!B317&lt;&gt;"",'📋 Trade Log'!B317,"")</f>
        <v/>
      </c>
      <c r="C319" s="12" t="str">
        <f aca="false">IF('📋 Trade Log'!L317&lt;&gt;"",'📋 Trade Log'!L317,"")</f>
        <v/>
      </c>
      <c r="D319" s="12" t="str">
        <f aca="false">IF(A319&lt;&gt;"",SUM($C$6:C319),"")</f>
        <v/>
      </c>
      <c r="E319" s="12" t="str">
        <f aca="false">IF(A319&lt;&gt;"",B$3+D319,"")</f>
        <v/>
      </c>
      <c r="F319" s="12" t="str">
        <f aca="false">IF(A319&lt;&gt;"",MIN(0,E319-MAX($E$6:E319)),"")</f>
        <v/>
      </c>
      <c r="G319" s="36" t="str">
        <f aca="false">IF(A319&lt;&gt;"",IFERROR(F319/MAX($E$6:E319),0),"")</f>
        <v/>
      </c>
    </row>
    <row r="320" customFormat="false" ht="15" hidden="false" customHeight="false" outlineLevel="0" collapsed="false">
      <c r="A320" s="4" t="str">
        <f aca="false">IF('📋 Trade Log'!B318&lt;&gt;"",'📋 Trade Log'!A318,"")</f>
        <v/>
      </c>
      <c r="B320" s="5" t="str">
        <f aca="false">IF('📋 Trade Log'!B318&lt;&gt;"",'📋 Trade Log'!B318,"")</f>
        <v/>
      </c>
      <c r="C320" s="7" t="str">
        <f aca="false">IF('📋 Trade Log'!L318&lt;&gt;"",'📋 Trade Log'!L318,"")</f>
        <v/>
      </c>
      <c r="D320" s="7" t="str">
        <f aca="false">IF(A320&lt;&gt;"",SUM($C$6:C320),"")</f>
        <v/>
      </c>
      <c r="E320" s="7" t="str">
        <f aca="false">IF(A320&lt;&gt;"",B$3+D320,"")</f>
        <v/>
      </c>
      <c r="F320" s="7" t="str">
        <f aca="false">IF(A320&lt;&gt;"",MIN(0,E320-MAX($E$6:E320)),"")</f>
        <v/>
      </c>
      <c r="G320" s="35" t="str">
        <f aca="false">IF(A320&lt;&gt;"",IFERROR(F320/MAX($E$6:E320),0),"")</f>
        <v/>
      </c>
    </row>
    <row r="321" customFormat="false" ht="15" hidden="false" customHeight="false" outlineLevel="0" collapsed="false">
      <c r="A321" s="9" t="str">
        <f aca="false">IF('📋 Trade Log'!B319&lt;&gt;"",'📋 Trade Log'!A319,"")</f>
        <v/>
      </c>
      <c r="B321" s="10" t="str">
        <f aca="false">IF('📋 Trade Log'!B319&lt;&gt;"",'📋 Trade Log'!B319,"")</f>
        <v/>
      </c>
      <c r="C321" s="12" t="str">
        <f aca="false">IF('📋 Trade Log'!L319&lt;&gt;"",'📋 Trade Log'!L319,"")</f>
        <v/>
      </c>
      <c r="D321" s="12" t="str">
        <f aca="false">IF(A321&lt;&gt;"",SUM($C$6:C321),"")</f>
        <v/>
      </c>
      <c r="E321" s="12" t="str">
        <f aca="false">IF(A321&lt;&gt;"",B$3+D321,"")</f>
        <v/>
      </c>
      <c r="F321" s="12" t="str">
        <f aca="false">IF(A321&lt;&gt;"",MIN(0,E321-MAX($E$6:E321)),"")</f>
        <v/>
      </c>
      <c r="G321" s="36" t="str">
        <f aca="false">IF(A321&lt;&gt;"",IFERROR(F321/MAX($E$6:E321),0),"")</f>
        <v/>
      </c>
    </row>
    <row r="322" customFormat="false" ht="15" hidden="false" customHeight="false" outlineLevel="0" collapsed="false">
      <c r="A322" s="4" t="str">
        <f aca="false">IF('📋 Trade Log'!B320&lt;&gt;"",'📋 Trade Log'!A320,"")</f>
        <v/>
      </c>
      <c r="B322" s="5" t="str">
        <f aca="false">IF('📋 Trade Log'!B320&lt;&gt;"",'📋 Trade Log'!B320,"")</f>
        <v/>
      </c>
      <c r="C322" s="7" t="str">
        <f aca="false">IF('📋 Trade Log'!L320&lt;&gt;"",'📋 Trade Log'!L320,"")</f>
        <v/>
      </c>
      <c r="D322" s="7" t="str">
        <f aca="false">IF(A322&lt;&gt;"",SUM($C$6:C322),"")</f>
        <v/>
      </c>
      <c r="E322" s="7" t="str">
        <f aca="false">IF(A322&lt;&gt;"",B$3+D322,"")</f>
        <v/>
      </c>
      <c r="F322" s="7" t="str">
        <f aca="false">IF(A322&lt;&gt;"",MIN(0,E322-MAX($E$6:E322)),"")</f>
        <v/>
      </c>
      <c r="G322" s="35" t="str">
        <f aca="false">IF(A322&lt;&gt;"",IFERROR(F322/MAX($E$6:E322),0),"")</f>
        <v/>
      </c>
    </row>
    <row r="323" customFormat="false" ht="15" hidden="false" customHeight="false" outlineLevel="0" collapsed="false">
      <c r="A323" s="9" t="str">
        <f aca="false">IF('📋 Trade Log'!B321&lt;&gt;"",'📋 Trade Log'!A321,"")</f>
        <v/>
      </c>
      <c r="B323" s="10" t="str">
        <f aca="false">IF('📋 Trade Log'!B321&lt;&gt;"",'📋 Trade Log'!B321,"")</f>
        <v/>
      </c>
      <c r="C323" s="12" t="str">
        <f aca="false">IF('📋 Trade Log'!L321&lt;&gt;"",'📋 Trade Log'!L321,"")</f>
        <v/>
      </c>
      <c r="D323" s="12" t="str">
        <f aca="false">IF(A323&lt;&gt;"",SUM($C$6:C323),"")</f>
        <v/>
      </c>
      <c r="E323" s="12" t="str">
        <f aca="false">IF(A323&lt;&gt;"",B$3+D323,"")</f>
        <v/>
      </c>
      <c r="F323" s="12" t="str">
        <f aca="false">IF(A323&lt;&gt;"",MIN(0,E323-MAX($E$6:E323)),"")</f>
        <v/>
      </c>
      <c r="G323" s="36" t="str">
        <f aca="false">IF(A323&lt;&gt;"",IFERROR(F323/MAX($E$6:E323),0),"")</f>
        <v/>
      </c>
    </row>
    <row r="324" customFormat="false" ht="15" hidden="false" customHeight="false" outlineLevel="0" collapsed="false">
      <c r="A324" s="4" t="str">
        <f aca="false">IF('📋 Trade Log'!B322&lt;&gt;"",'📋 Trade Log'!A322,"")</f>
        <v/>
      </c>
      <c r="B324" s="5" t="str">
        <f aca="false">IF('📋 Trade Log'!B322&lt;&gt;"",'📋 Trade Log'!B322,"")</f>
        <v/>
      </c>
      <c r="C324" s="7" t="str">
        <f aca="false">IF('📋 Trade Log'!L322&lt;&gt;"",'📋 Trade Log'!L322,"")</f>
        <v/>
      </c>
      <c r="D324" s="7" t="str">
        <f aca="false">IF(A324&lt;&gt;"",SUM($C$6:C324),"")</f>
        <v/>
      </c>
      <c r="E324" s="7" t="str">
        <f aca="false">IF(A324&lt;&gt;"",B$3+D324,"")</f>
        <v/>
      </c>
      <c r="F324" s="7" t="str">
        <f aca="false">IF(A324&lt;&gt;"",MIN(0,E324-MAX($E$6:E324)),"")</f>
        <v/>
      </c>
      <c r="G324" s="35" t="str">
        <f aca="false">IF(A324&lt;&gt;"",IFERROR(F324/MAX($E$6:E324),0),"")</f>
        <v/>
      </c>
    </row>
    <row r="325" customFormat="false" ht="15" hidden="false" customHeight="false" outlineLevel="0" collapsed="false">
      <c r="A325" s="9" t="str">
        <f aca="false">IF('📋 Trade Log'!B323&lt;&gt;"",'📋 Trade Log'!A323,"")</f>
        <v/>
      </c>
      <c r="B325" s="10" t="str">
        <f aca="false">IF('📋 Trade Log'!B323&lt;&gt;"",'📋 Trade Log'!B323,"")</f>
        <v/>
      </c>
      <c r="C325" s="12" t="str">
        <f aca="false">IF('📋 Trade Log'!L323&lt;&gt;"",'📋 Trade Log'!L323,"")</f>
        <v/>
      </c>
      <c r="D325" s="12" t="str">
        <f aca="false">IF(A325&lt;&gt;"",SUM($C$6:C325),"")</f>
        <v/>
      </c>
      <c r="E325" s="12" t="str">
        <f aca="false">IF(A325&lt;&gt;"",B$3+D325,"")</f>
        <v/>
      </c>
      <c r="F325" s="12" t="str">
        <f aca="false">IF(A325&lt;&gt;"",MIN(0,E325-MAX($E$6:E325)),"")</f>
        <v/>
      </c>
      <c r="G325" s="36" t="str">
        <f aca="false">IF(A325&lt;&gt;"",IFERROR(F325/MAX($E$6:E325),0),"")</f>
        <v/>
      </c>
    </row>
    <row r="326" customFormat="false" ht="15" hidden="false" customHeight="false" outlineLevel="0" collapsed="false">
      <c r="A326" s="4" t="str">
        <f aca="false">IF('📋 Trade Log'!B324&lt;&gt;"",'📋 Trade Log'!A324,"")</f>
        <v/>
      </c>
      <c r="B326" s="5" t="str">
        <f aca="false">IF('📋 Trade Log'!B324&lt;&gt;"",'📋 Trade Log'!B324,"")</f>
        <v/>
      </c>
      <c r="C326" s="7" t="str">
        <f aca="false">IF('📋 Trade Log'!L324&lt;&gt;"",'📋 Trade Log'!L324,"")</f>
        <v/>
      </c>
      <c r="D326" s="7" t="str">
        <f aca="false">IF(A326&lt;&gt;"",SUM($C$6:C326),"")</f>
        <v/>
      </c>
      <c r="E326" s="7" t="str">
        <f aca="false">IF(A326&lt;&gt;"",B$3+D326,"")</f>
        <v/>
      </c>
      <c r="F326" s="7" t="str">
        <f aca="false">IF(A326&lt;&gt;"",MIN(0,E326-MAX($E$6:E326)),"")</f>
        <v/>
      </c>
      <c r="G326" s="35" t="str">
        <f aca="false">IF(A326&lt;&gt;"",IFERROR(F326/MAX($E$6:E326),0),"")</f>
        <v/>
      </c>
    </row>
    <row r="327" customFormat="false" ht="15" hidden="false" customHeight="false" outlineLevel="0" collapsed="false">
      <c r="A327" s="9" t="str">
        <f aca="false">IF('📋 Trade Log'!B325&lt;&gt;"",'📋 Trade Log'!A325,"")</f>
        <v/>
      </c>
      <c r="B327" s="10" t="str">
        <f aca="false">IF('📋 Trade Log'!B325&lt;&gt;"",'📋 Trade Log'!B325,"")</f>
        <v/>
      </c>
      <c r="C327" s="12" t="str">
        <f aca="false">IF('📋 Trade Log'!L325&lt;&gt;"",'📋 Trade Log'!L325,"")</f>
        <v/>
      </c>
      <c r="D327" s="12" t="str">
        <f aca="false">IF(A327&lt;&gt;"",SUM($C$6:C327),"")</f>
        <v/>
      </c>
      <c r="E327" s="12" t="str">
        <f aca="false">IF(A327&lt;&gt;"",B$3+D327,"")</f>
        <v/>
      </c>
      <c r="F327" s="12" t="str">
        <f aca="false">IF(A327&lt;&gt;"",MIN(0,E327-MAX($E$6:E327)),"")</f>
        <v/>
      </c>
      <c r="G327" s="36" t="str">
        <f aca="false">IF(A327&lt;&gt;"",IFERROR(F327/MAX($E$6:E327),0),"")</f>
        <v/>
      </c>
    </row>
    <row r="328" customFormat="false" ht="15" hidden="false" customHeight="false" outlineLevel="0" collapsed="false">
      <c r="A328" s="4" t="str">
        <f aca="false">IF('📋 Trade Log'!B326&lt;&gt;"",'📋 Trade Log'!A326,"")</f>
        <v/>
      </c>
      <c r="B328" s="5" t="str">
        <f aca="false">IF('📋 Trade Log'!B326&lt;&gt;"",'📋 Trade Log'!B326,"")</f>
        <v/>
      </c>
      <c r="C328" s="7" t="str">
        <f aca="false">IF('📋 Trade Log'!L326&lt;&gt;"",'📋 Trade Log'!L326,"")</f>
        <v/>
      </c>
      <c r="D328" s="7" t="str">
        <f aca="false">IF(A328&lt;&gt;"",SUM($C$6:C328),"")</f>
        <v/>
      </c>
      <c r="E328" s="7" t="str">
        <f aca="false">IF(A328&lt;&gt;"",B$3+D328,"")</f>
        <v/>
      </c>
      <c r="F328" s="7" t="str">
        <f aca="false">IF(A328&lt;&gt;"",MIN(0,E328-MAX($E$6:E328)),"")</f>
        <v/>
      </c>
      <c r="G328" s="35" t="str">
        <f aca="false">IF(A328&lt;&gt;"",IFERROR(F328/MAX($E$6:E328),0),"")</f>
        <v/>
      </c>
    </row>
    <row r="329" customFormat="false" ht="15" hidden="false" customHeight="false" outlineLevel="0" collapsed="false">
      <c r="A329" s="9" t="str">
        <f aca="false">IF('📋 Trade Log'!B327&lt;&gt;"",'📋 Trade Log'!A327,"")</f>
        <v/>
      </c>
      <c r="B329" s="10" t="str">
        <f aca="false">IF('📋 Trade Log'!B327&lt;&gt;"",'📋 Trade Log'!B327,"")</f>
        <v/>
      </c>
      <c r="C329" s="12" t="str">
        <f aca="false">IF('📋 Trade Log'!L327&lt;&gt;"",'📋 Trade Log'!L327,"")</f>
        <v/>
      </c>
      <c r="D329" s="12" t="str">
        <f aca="false">IF(A329&lt;&gt;"",SUM($C$6:C329),"")</f>
        <v/>
      </c>
      <c r="E329" s="12" t="str">
        <f aca="false">IF(A329&lt;&gt;"",B$3+D329,"")</f>
        <v/>
      </c>
      <c r="F329" s="12" t="str">
        <f aca="false">IF(A329&lt;&gt;"",MIN(0,E329-MAX($E$6:E329)),"")</f>
        <v/>
      </c>
      <c r="G329" s="36" t="str">
        <f aca="false">IF(A329&lt;&gt;"",IFERROR(F329/MAX($E$6:E329),0),"")</f>
        <v/>
      </c>
    </row>
    <row r="330" customFormat="false" ht="15" hidden="false" customHeight="false" outlineLevel="0" collapsed="false">
      <c r="A330" s="4" t="str">
        <f aca="false">IF('📋 Trade Log'!B328&lt;&gt;"",'📋 Trade Log'!A328,"")</f>
        <v/>
      </c>
      <c r="B330" s="5" t="str">
        <f aca="false">IF('📋 Trade Log'!B328&lt;&gt;"",'📋 Trade Log'!B328,"")</f>
        <v/>
      </c>
      <c r="C330" s="7" t="str">
        <f aca="false">IF('📋 Trade Log'!L328&lt;&gt;"",'📋 Trade Log'!L328,"")</f>
        <v/>
      </c>
      <c r="D330" s="7" t="str">
        <f aca="false">IF(A330&lt;&gt;"",SUM($C$6:C330),"")</f>
        <v/>
      </c>
      <c r="E330" s="7" t="str">
        <f aca="false">IF(A330&lt;&gt;"",B$3+D330,"")</f>
        <v/>
      </c>
      <c r="F330" s="7" t="str">
        <f aca="false">IF(A330&lt;&gt;"",MIN(0,E330-MAX($E$6:E330)),"")</f>
        <v/>
      </c>
      <c r="G330" s="35" t="str">
        <f aca="false">IF(A330&lt;&gt;"",IFERROR(F330/MAX($E$6:E330),0),"")</f>
        <v/>
      </c>
    </row>
    <row r="331" customFormat="false" ht="15" hidden="false" customHeight="false" outlineLevel="0" collapsed="false">
      <c r="A331" s="9" t="str">
        <f aca="false">IF('📋 Trade Log'!B329&lt;&gt;"",'📋 Trade Log'!A329,"")</f>
        <v/>
      </c>
      <c r="B331" s="10" t="str">
        <f aca="false">IF('📋 Trade Log'!B329&lt;&gt;"",'📋 Trade Log'!B329,"")</f>
        <v/>
      </c>
      <c r="C331" s="12" t="str">
        <f aca="false">IF('📋 Trade Log'!L329&lt;&gt;"",'📋 Trade Log'!L329,"")</f>
        <v/>
      </c>
      <c r="D331" s="12" t="str">
        <f aca="false">IF(A331&lt;&gt;"",SUM($C$6:C331),"")</f>
        <v/>
      </c>
      <c r="E331" s="12" t="str">
        <f aca="false">IF(A331&lt;&gt;"",B$3+D331,"")</f>
        <v/>
      </c>
      <c r="F331" s="12" t="str">
        <f aca="false">IF(A331&lt;&gt;"",MIN(0,E331-MAX($E$6:E331)),"")</f>
        <v/>
      </c>
      <c r="G331" s="36" t="str">
        <f aca="false">IF(A331&lt;&gt;"",IFERROR(F331/MAX($E$6:E331),0),"")</f>
        <v/>
      </c>
    </row>
    <row r="332" customFormat="false" ht="15" hidden="false" customHeight="false" outlineLevel="0" collapsed="false">
      <c r="A332" s="4" t="str">
        <f aca="false">IF('📋 Trade Log'!B330&lt;&gt;"",'📋 Trade Log'!A330,"")</f>
        <v/>
      </c>
      <c r="B332" s="5" t="str">
        <f aca="false">IF('📋 Trade Log'!B330&lt;&gt;"",'📋 Trade Log'!B330,"")</f>
        <v/>
      </c>
      <c r="C332" s="7" t="str">
        <f aca="false">IF('📋 Trade Log'!L330&lt;&gt;"",'📋 Trade Log'!L330,"")</f>
        <v/>
      </c>
      <c r="D332" s="7" t="str">
        <f aca="false">IF(A332&lt;&gt;"",SUM($C$6:C332),"")</f>
        <v/>
      </c>
      <c r="E332" s="7" t="str">
        <f aca="false">IF(A332&lt;&gt;"",B$3+D332,"")</f>
        <v/>
      </c>
      <c r="F332" s="7" t="str">
        <f aca="false">IF(A332&lt;&gt;"",MIN(0,E332-MAX($E$6:E332)),"")</f>
        <v/>
      </c>
      <c r="G332" s="35" t="str">
        <f aca="false">IF(A332&lt;&gt;"",IFERROR(F332/MAX($E$6:E332),0),"")</f>
        <v/>
      </c>
    </row>
    <row r="333" customFormat="false" ht="15" hidden="false" customHeight="false" outlineLevel="0" collapsed="false">
      <c r="A333" s="9" t="str">
        <f aca="false">IF('📋 Trade Log'!B331&lt;&gt;"",'📋 Trade Log'!A331,"")</f>
        <v/>
      </c>
      <c r="B333" s="10" t="str">
        <f aca="false">IF('📋 Trade Log'!B331&lt;&gt;"",'📋 Trade Log'!B331,"")</f>
        <v/>
      </c>
      <c r="C333" s="12" t="str">
        <f aca="false">IF('📋 Trade Log'!L331&lt;&gt;"",'📋 Trade Log'!L331,"")</f>
        <v/>
      </c>
      <c r="D333" s="12" t="str">
        <f aca="false">IF(A333&lt;&gt;"",SUM($C$6:C333),"")</f>
        <v/>
      </c>
      <c r="E333" s="12" t="str">
        <f aca="false">IF(A333&lt;&gt;"",B$3+D333,"")</f>
        <v/>
      </c>
      <c r="F333" s="12" t="str">
        <f aca="false">IF(A333&lt;&gt;"",MIN(0,E333-MAX($E$6:E333)),"")</f>
        <v/>
      </c>
      <c r="G333" s="36" t="str">
        <f aca="false">IF(A333&lt;&gt;"",IFERROR(F333/MAX($E$6:E333),0),"")</f>
        <v/>
      </c>
    </row>
    <row r="334" customFormat="false" ht="15" hidden="false" customHeight="false" outlineLevel="0" collapsed="false">
      <c r="A334" s="4" t="str">
        <f aca="false">IF('📋 Trade Log'!B332&lt;&gt;"",'📋 Trade Log'!A332,"")</f>
        <v/>
      </c>
      <c r="B334" s="5" t="str">
        <f aca="false">IF('📋 Trade Log'!B332&lt;&gt;"",'📋 Trade Log'!B332,"")</f>
        <v/>
      </c>
      <c r="C334" s="7" t="str">
        <f aca="false">IF('📋 Trade Log'!L332&lt;&gt;"",'📋 Trade Log'!L332,"")</f>
        <v/>
      </c>
      <c r="D334" s="7" t="str">
        <f aca="false">IF(A334&lt;&gt;"",SUM($C$6:C334),"")</f>
        <v/>
      </c>
      <c r="E334" s="7" t="str">
        <f aca="false">IF(A334&lt;&gt;"",B$3+D334,"")</f>
        <v/>
      </c>
      <c r="F334" s="7" t="str">
        <f aca="false">IF(A334&lt;&gt;"",MIN(0,E334-MAX($E$6:E334)),"")</f>
        <v/>
      </c>
      <c r="G334" s="35" t="str">
        <f aca="false">IF(A334&lt;&gt;"",IFERROR(F334/MAX($E$6:E334),0),"")</f>
        <v/>
      </c>
    </row>
    <row r="335" customFormat="false" ht="15" hidden="false" customHeight="false" outlineLevel="0" collapsed="false">
      <c r="A335" s="9" t="str">
        <f aca="false">IF('📋 Trade Log'!B333&lt;&gt;"",'📋 Trade Log'!A333,"")</f>
        <v/>
      </c>
      <c r="B335" s="10" t="str">
        <f aca="false">IF('📋 Trade Log'!B333&lt;&gt;"",'📋 Trade Log'!B333,"")</f>
        <v/>
      </c>
      <c r="C335" s="12" t="str">
        <f aca="false">IF('📋 Trade Log'!L333&lt;&gt;"",'📋 Trade Log'!L333,"")</f>
        <v/>
      </c>
      <c r="D335" s="12" t="str">
        <f aca="false">IF(A335&lt;&gt;"",SUM($C$6:C335),"")</f>
        <v/>
      </c>
      <c r="E335" s="12" t="str">
        <f aca="false">IF(A335&lt;&gt;"",B$3+D335,"")</f>
        <v/>
      </c>
      <c r="F335" s="12" t="str">
        <f aca="false">IF(A335&lt;&gt;"",MIN(0,E335-MAX($E$6:E335)),"")</f>
        <v/>
      </c>
      <c r="G335" s="36" t="str">
        <f aca="false">IF(A335&lt;&gt;"",IFERROR(F335/MAX($E$6:E335),0),"")</f>
        <v/>
      </c>
    </row>
    <row r="336" customFormat="false" ht="15" hidden="false" customHeight="false" outlineLevel="0" collapsed="false">
      <c r="A336" s="4" t="str">
        <f aca="false">IF('📋 Trade Log'!B334&lt;&gt;"",'📋 Trade Log'!A334,"")</f>
        <v/>
      </c>
      <c r="B336" s="5" t="str">
        <f aca="false">IF('📋 Trade Log'!B334&lt;&gt;"",'📋 Trade Log'!B334,"")</f>
        <v/>
      </c>
      <c r="C336" s="7" t="str">
        <f aca="false">IF('📋 Trade Log'!L334&lt;&gt;"",'📋 Trade Log'!L334,"")</f>
        <v/>
      </c>
      <c r="D336" s="7" t="str">
        <f aca="false">IF(A336&lt;&gt;"",SUM($C$6:C336),"")</f>
        <v/>
      </c>
      <c r="E336" s="7" t="str">
        <f aca="false">IF(A336&lt;&gt;"",B$3+D336,"")</f>
        <v/>
      </c>
      <c r="F336" s="7" t="str">
        <f aca="false">IF(A336&lt;&gt;"",MIN(0,E336-MAX($E$6:E336)),"")</f>
        <v/>
      </c>
      <c r="G336" s="35" t="str">
        <f aca="false">IF(A336&lt;&gt;"",IFERROR(F336/MAX($E$6:E336),0),"")</f>
        <v/>
      </c>
    </row>
    <row r="337" customFormat="false" ht="15" hidden="false" customHeight="false" outlineLevel="0" collapsed="false">
      <c r="A337" s="9" t="str">
        <f aca="false">IF('📋 Trade Log'!B335&lt;&gt;"",'📋 Trade Log'!A335,"")</f>
        <v/>
      </c>
      <c r="B337" s="10" t="str">
        <f aca="false">IF('📋 Trade Log'!B335&lt;&gt;"",'📋 Trade Log'!B335,"")</f>
        <v/>
      </c>
      <c r="C337" s="12" t="str">
        <f aca="false">IF('📋 Trade Log'!L335&lt;&gt;"",'📋 Trade Log'!L335,"")</f>
        <v/>
      </c>
      <c r="D337" s="12" t="str">
        <f aca="false">IF(A337&lt;&gt;"",SUM($C$6:C337),"")</f>
        <v/>
      </c>
      <c r="E337" s="12" t="str">
        <f aca="false">IF(A337&lt;&gt;"",B$3+D337,"")</f>
        <v/>
      </c>
      <c r="F337" s="12" t="str">
        <f aca="false">IF(A337&lt;&gt;"",MIN(0,E337-MAX($E$6:E337)),"")</f>
        <v/>
      </c>
      <c r="G337" s="36" t="str">
        <f aca="false">IF(A337&lt;&gt;"",IFERROR(F337/MAX($E$6:E337),0),"")</f>
        <v/>
      </c>
    </row>
    <row r="338" customFormat="false" ht="15" hidden="false" customHeight="false" outlineLevel="0" collapsed="false">
      <c r="A338" s="4" t="str">
        <f aca="false">IF('📋 Trade Log'!B336&lt;&gt;"",'📋 Trade Log'!A336,"")</f>
        <v/>
      </c>
      <c r="B338" s="5" t="str">
        <f aca="false">IF('📋 Trade Log'!B336&lt;&gt;"",'📋 Trade Log'!B336,"")</f>
        <v/>
      </c>
      <c r="C338" s="7" t="str">
        <f aca="false">IF('📋 Trade Log'!L336&lt;&gt;"",'📋 Trade Log'!L336,"")</f>
        <v/>
      </c>
      <c r="D338" s="7" t="str">
        <f aca="false">IF(A338&lt;&gt;"",SUM($C$6:C338),"")</f>
        <v/>
      </c>
      <c r="E338" s="7" t="str">
        <f aca="false">IF(A338&lt;&gt;"",B$3+D338,"")</f>
        <v/>
      </c>
      <c r="F338" s="7" t="str">
        <f aca="false">IF(A338&lt;&gt;"",MIN(0,E338-MAX($E$6:E338)),"")</f>
        <v/>
      </c>
      <c r="G338" s="35" t="str">
        <f aca="false">IF(A338&lt;&gt;"",IFERROR(F338/MAX($E$6:E338),0),"")</f>
        <v/>
      </c>
    </row>
    <row r="339" customFormat="false" ht="15" hidden="false" customHeight="false" outlineLevel="0" collapsed="false">
      <c r="A339" s="9" t="str">
        <f aca="false">IF('📋 Trade Log'!B337&lt;&gt;"",'📋 Trade Log'!A337,"")</f>
        <v/>
      </c>
      <c r="B339" s="10" t="str">
        <f aca="false">IF('📋 Trade Log'!B337&lt;&gt;"",'📋 Trade Log'!B337,"")</f>
        <v/>
      </c>
      <c r="C339" s="12" t="str">
        <f aca="false">IF('📋 Trade Log'!L337&lt;&gt;"",'📋 Trade Log'!L337,"")</f>
        <v/>
      </c>
      <c r="D339" s="12" t="str">
        <f aca="false">IF(A339&lt;&gt;"",SUM($C$6:C339),"")</f>
        <v/>
      </c>
      <c r="E339" s="12" t="str">
        <f aca="false">IF(A339&lt;&gt;"",B$3+D339,"")</f>
        <v/>
      </c>
      <c r="F339" s="12" t="str">
        <f aca="false">IF(A339&lt;&gt;"",MIN(0,E339-MAX($E$6:E339)),"")</f>
        <v/>
      </c>
      <c r="G339" s="36" t="str">
        <f aca="false">IF(A339&lt;&gt;"",IFERROR(F339/MAX($E$6:E339),0),"")</f>
        <v/>
      </c>
    </row>
    <row r="340" customFormat="false" ht="15" hidden="false" customHeight="false" outlineLevel="0" collapsed="false">
      <c r="A340" s="4" t="str">
        <f aca="false">IF('📋 Trade Log'!B338&lt;&gt;"",'📋 Trade Log'!A338,"")</f>
        <v/>
      </c>
      <c r="B340" s="5" t="str">
        <f aca="false">IF('📋 Trade Log'!B338&lt;&gt;"",'📋 Trade Log'!B338,"")</f>
        <v/>
      </c>
      <c r="C340" s="7" t="str">
        <f aca="false">IF('📋 Trade Log'!L338&lt;&gt;"",'📋 Trade Log'!L338,"")</f>
        <v/>
      </c>
      <c r="D340" s="7" t="str">
        <f aca="false">IF(A340&lt;&gt;"",SUM($C$6:C340),"")</f>
        <v/>
      </c>
      <c r="E340" s="7" t="str">
        <f aca="false">IF(A340&lt;&gt;"",B$3+D340,"")</f>
        <v/>
      </c>
      <c r="F340" s="7" t="str">
        <f aca="false">IF(A340&lt;&gt;"",MIN(0,E340-MAX($E$6:E340)),"")</f>
        <v/>
      </c>
      <c r="G340" s="35" t="str">
        <f aca="false">IF(A340&lt;&gt;"",IFERROR(F340/MAX($E$6:E340),0),"")</f>
        <v/>
      </c>
    </row>
    <row r="341" customFormat="false" ht="15" hidden="false" customHeight="false" outlineLevel="0" collapsed="false">
      <c r="A341" s="9" t="str">
        <f aca="false">IF('📋 Trade Log'!B339&lt;&gt;"",'📋 Trade Log'!A339,"")</f>
        <v/>
      </c>
      <c r="B341" s="10" t="str">
        <f aca="false">IF('📋 Trade Log'!B339&lt;&gt;"",'📋 Trade Log'!B339,"")</f>
        <v/>
      </c>
      <c r="C341" s="12" t="str">
        <f aca="false">IF('📋 Trade Log'!L339&lt;&gt;"",'📋 Trade Log'!L339,"")</f>
        <v/>
      </c>
      <c r="D341" s="12" t="str">
        <f aca="false">IF(A341&lt;&gt;"",SUM($C$6:C341),"")</f>
        <v/>
      </c>
      <c r="E341" s="12" t="str">
        <f aca="false">IF(A341&lt;&gt;"",B$3+D341,"")</f>
        <v/>
      </c>
      <c r="F341" s="12" t="str">
        <f aca="false">IF(A341&lt;&gt;"",MIN(0,E341-MAX($E$6:E341)),"")</f>
        <v/>
      </c>
      <c r="G341" s="36" t="str">
        <f aca="false">IF(A341&lt;&gt;"",IFERROR(F341/MAX($E$6:E341),0),"")</f>
        <v/>
      </c>
    </row>
    <row r="342" customFormat="false" ht="15" hidden="false" customHeight="false" outlineLevel="0" collapsed="false">
      <c r="A342" s="4" t="str">
        <f aca="false">IF('📋 Trade Log'!B340&lt;&gt;"",'📋 Trade Log'!A340,"")</f>
        <v/>
      </c>
      <c r="B342" s="5" t="str">
        <f aca="false">IF('📋 Trade Log'!B340&lt;&gt;"",'📋 Trade Log'!B340,"")</f>
        <v/>
      </c>
      <c r="C342" s="7" t="str">
        <f aca="false">IF('📋 Trade Log'!L340&lt;&gt;"",'📋 Trade Log'!L340,"")</f>
        <v/>
      </c>
      <c r="D342" s="7" t="str">
        <f aca="false">IF(A342&lt;&gt;"",SUM($C$6:C342),"")</f>
        <v/>
      </c>
      <c r="E342" s="7" t="str">
        <f aca="false">IF(A342&lt;&gt;"",B$3+D342,"")</f>
        <v/>
      </c>
      <c r="F342" s="7" t="str">
        <f aca="false">IF(A342&lt;&gt;"",MIN(0,E342-MAX($E$6:E342)),"")</f>
        <v/>
      </c>
      <c r="G342" s="35" t="str">
        <f aca="false">IF(A342&lt;&gt;"",IFERROR(F342/MAX($E$6:E342),0),"")</f>
        <v/>
      </c>
    </row>
    <row r="343" customFormat="false" ht="15" hidden="false" customHeight="false" outlineLevel="0" collapsed="false">
      <c r="A343" s="9" t="str">
        <f aca="false">IF('📋 Trade Log'!B341&lt;&gt;"",'📋 Trade Log'!A341,"")</f>
        <v/>
      </c>
      <c r="B343" s="10" t="str">
        <f aca="false">IF('📋 Trade Log'!B341&lt;&gt;"",'📋 Trade Log'!B341,"")</f>
        <v/>
      </c>
      <c r="C343" s="12" t="str">
        <f aca="false">IF('📋 Trade Log'!L341&lt;&gt;"",'📋 Trade Log'!L341,"")</f>
        <v/>
      </c>
      <c r="D343" s="12" t="str">
        <f aca="false">IF(A343&lt;&gt;"",SUM($C$6:C343),"")</f>
        <v/>
      </c>
      <c r="E343" s="12" t="str">
        <f aca="false">IF(A343&lt;&gt;"",B$3+D343,"")</f>
        <v/>
      </c>
      <c r="F343" s="12" t="str">
        <f aca="false">IF(A343&lt;&gt;"",MIN(0,E343-MAX($E$6:E343)),"")</f>
        <v/>
      </c>
      <c r="G343" s="36" t="str">
        <f aca="false">IF(A343&lt;&gt;"",IFERROR(F343/MAX($E$6:E343),0),"")</f>
        <v/>
      </c>
    </row>
    <row r="344" customFormat="false" ht="15" hidden="false" customHeight="false" outlineLevel="0" collapsed="false">
      <c r="A344" s="4" t="str">
        <f aca="false">IF('📋 Trade Log'!B342&lt;&gt;"",'📋 Trade Log'!A342,"")</f>
        <v/>
      </c>
      <c r="B344" s="5" t="str">
        <f aca="false">IF('📋 Trade Log'!B342&lt;&gt;"",'📋 Trade Log'!B342,"")</f>
        <v/>
      </c>
      <c r="C344" s="7" t="str">
        <f aca="false">IF('📋 Trade Log'!L342&lt;&gt;"",'📋 Trade Log'!L342,"")</f>
        <v/>
      </c>
      <c r="D344" s="7" t="str">
        <f aca="false">IF(A344&lt;&gt;"",SUM($C$6:C344),"")</f>
        <v/>
      </c>
      <c r="E344" s="7" t="str">
        <f aca="false">IF(A344&lt;&gt;"",B$3+D344,"")</f>
        <v/>
      </c>
      <c r="F344" s="7" t="str">
        <f aca="false">IF(A344&lt;&gt;"",MIN(0,E344-MAX($E$6:E344)),"")</f>
        <v/>
      </c>
      <c r="G344" s="35" t="str">
        <f aca="false">IF(A344&lt;&gt;"",IFERROR(F344/MAX($E$6:E344),0),"")</f>
        <v/>
      </c>
    </row>
    <row r="345" customFormat="false" ht="15" hidden="false" customHeight="false" outlineLevel="0" collapsed="false">
      <c r="A345" s="9" t="str">
        <f aca="false">IF('📋 Trade Log'!B343&lt;&gt;"",'📋 Trade Log'!A343,"")</f>
        <v/>
      </c>
      <c r="B345" s="10" t="str">
        <f aca="false">IF('📋 Trade Log'!B343&lt;&gt;"",'📋 Trade Log'!B343,"")</f>
        <v/>
      </c>
      <c r="C345" s="12" t="str">
        <f aca="false">IF('📋 Trade Log'!L343&lt;&gt;"",'📋 Trade Log'!L343,"")</f>
        <v/>
      </c>
      <c r="D345" s="12" t="str">
        <f aca="false">IF(A345&lt;&gt;"",SUM($C$6:C345),"")</f>
        <v/>
      </c>
      <c r="E345" s="12" t="str">
        <f aca="false">IF(A345&lt;&gt;"",B$3+D345,"")</f>
        <v/>
      </c>
      <c r="F345" s="12" t="str">
        <f aca="false">IF(A345&lt;&gt;"",MIN(0,E345-MAX($E$6:E345)),"")</f>
        <v/>
      </c>
      <c r="G345" s="36" t="str">
        <f aca="false">IF(A345&lt;&gt;"",IFERROR(F345/MAX($E$6:E345),0),"")</f>
        <v/>
      </c>
    </row>
    <row r="346" customFormat="false" ht="15" hidden="false" customHeight="false" outlineLevel="0" collapsed="false">
      <c r="A346" s="4" t="str">
        <f aca="false">IF('📋 Trade Log'!B344&lt;&gt;"",'📋 Trade Log'!A344,"")</f>
        <v/>
      </c>
      <c r="B346" s="5" t="str">
        <f aca="false">IF('📋 Trade Log'!B344&lt;&gt;"",'📋 Trade Log'!B344,"")</f>
        <v/>
      </c>
      <c r="C346" s="7" t="str">
        <f aca="false">IF('📋 Trade Log'!L344&lt;&gt;"",'📋 Trade Log'!L344,"")</f>
        <v/>
      </c>
      <c r="D346" s="7" t="str">
        <f aca="false">IF(A346&lt;&gt;"",SUM($C$6:C346),"")</f>
        <v/>
      </c>
      <c r="E346" s="7" t="str">
        <f aca="false">IF(A346&lt;&gt;"",B$3+D346,"")</f>
        <v/>
      </c>
      <c r="F346" s="7" t="str">
        <f aca="false">IF(A346&lt;&gt;"",MIN(0,E346-MAX($E$6:E346)),"")</f>
        <v/>
      </c>
      <c r="G346" s="35" t="str">
        <f aca="false">IF(A346&lt;&gt;"",IFERROR(F346/MAX($E$6:E346),0),"")</f>
        <v/>
      </c>
    </row>
    <row r="347" customFormat="false" ht="15" hidden="false" customHeight="false" outlineLevel="0" collapsed="false">
      <c r="A347" s="9" t="str">
        <f aca="false">IF('📋 Trade Log'!B345&lt;&gt;"",'📋 Trade Log'!A345,"")</f>
        <v/>
      </c>
      <c r="B347" s="10" t="str">
        <f aca="false">IF('📋 Trade Log'!B345&lt;&gt;"",'📋 Trade Log'!B345,"")</f>
        <v/>
      </c>
      <c r="C347" s="12" t="str">
        <f aca="false">IF('📋 Trade Log'!L345&lt;&gt;"",'📋 Trade Log'!L345,"")</f>
        <v/>
      </c>
      <c r="D347" s="12" t="str">
        <f aca="false">IF(A347&lt;&gt;"",SUM($C$6:C347),"")</f>
        <v/>
      </c>
      <c r="E347" s="12" t="str">
        <f aca="false">IF(A347&lt;&gt;"",B$3+D347,"")</f>
        <v/>
      </c>
      <c r="F347" s="12" t="str">
        <f aca="false">IF(A347&lt;&gt;"",MIN(0,E347-MAX($E$6:E347)),"")</f>
        <v/>
      </c>
      <c r="G347" s="36" t="str">
        <f aca="false">IF(A347&lt;&gt;"",IFERROR(F347/MAX($E$6:E347),0),"")</f>
        <v/>
      </c>
    </row>
    <row r="348" customFormat="false" ht="15" hidden="false" customHeight="false" outlineLevel="0" collapsed="false">
      <c r="A348" s="4" t="str">
        <f aca="false">IF('📋 Trade Log'!B346&lt;&gt;"",'📋 Trade Log'!A346,"")</f>
        <v/>
      </c>
      <c r="B348" s="5" t="str">
        <f aca="false">IF('📋 Trade Log'!B346&lt;&gt;"",'📋 Trade Log'!B346,"")</f>
        <v/>
      </c>
      <c r="C348" s="7" t="str">
        <f aca="false">IF('📋 Trade Log'!L346&lt;&gt;"",'📋 Trade Log'!L346,"")</f>
        <v/>
      </c>
      <c r="D348" s="7" t="str">
        <f aca="false">IF(A348&lt;&gt;"",SUM($C$6:C348),"")</f>
        <v/>
      </c>
      <c r="E348" s="7" t="str">
        <f aca="false">IF(A348&lt;&gt;"",B$3+D348,"")</f>
        <v/>
      </c>
      <c r="F348" s="7" t="str">
        <f aca="false">IF(A348&lt;&gt;"",MIN(0,E348-MAX($E$6:E348)),"")</f>
        <v/>
      </c>
      <c r="G348" s="35" t="str">
        <f aca="false">IF(A348&lt;&gt;"",IFERROR(F348/MAX($E$6:E348),0),"")</f>
        <v/>
      </c>
    </row>
    <row r="349" customFormat="false" ht="15" hidden="false" customHeight="false" outlineLevel="0" collapsed="false">
      <c r="A349" s="9" t="str">
        <f aca="false">IF('📋 Trade Log'!B347&lt;&gt;"",'📋 Trade Log'!A347,"")</f>
        <v/>
      </c>
      <c r="B349" s="10" t="str">
        <f aca="false">IF('📋 Trade Log'!B347&lt;&gt;"",'📋 Trade Log'!B347,"")</f>
        <v/>
      </c>
      <c r="C349" s="12" t="str">
        <f aca="false">IF('📋 Trade Log'!L347&lt;&gt;"",'📋 Trade Log'!L347,"")</f>
        <v/>
      </c>
      <c r="D349" s="12" t="str">
        <f aca="false">IF(A349&lt;&gt;"",SUM($C$6:C349),"")</f>
        <v/>
      </c>
      <c r="E349" s="12" t="str">
        <f aca="false">IF(A349&lt;&gt;"",B$3+D349,"")</f>
        <v/>
      </c>
      <c r="F349" s="12" t="str">
        <f aca="false">IF(A349&lt;&gt;"",MIN(0,E349-MAX($E$6:E349)),"")</f>
        <v/>
      </c>
      <c r="G349" s="36" t="str">
        <f aca="false">IF(A349&lt;&gt;"",IFERROR(F349/MAX($E$6:E349),0),"")</f>
        <v/>
      </c>
    </row>
    <row r="350" customFormat="false" ht="15" hidden="false" customHeight="false" outlineLevel="0" collapsed="false">
      <c r="A350" s="4" t="str">
        <f aca="false">IF('📋 Trade Log'!B348&lt;&gt;"",'📋 Trade Log'!A348,"")</f>
        <v/>
      </c>
      <c r="B350" s="5" t="str">
        <f aca="false">IF('📋 Trade Log'!B348&lt;&gt;"",'📋 Trade Log'!B348,"")</f>
        <v/>
      </c>
      <c r="C350" s="7" t="str">
        <f aca="false">IF('📋 Trade Log'!L348&lt;&gt;"",'📋 Trade Log'!L348,"")</f>
        <v/>
      </c>
      <c r="D350" s="7" t="str">
        <f aca="false">IF(A350&lt;&gt;"",SUM($C$6:C350),"")</f>
        <v/>
      </c>
      <c r="E350" s="7" t="str">
        <f aca="false">IF(A350&lt;&gt;"",B$3+D350,"")</f>
        <v/>
      </c>
      <c r="F350" s="7" t="str">
        <f aca="false">IF(A350&lt;&gt;"",MIN(0,E350-MAX($E$6:E350)),"")</f>
        <v/>
      </c>
      <c r="G350" s="35" t="str">
        <f aca="false">IF(A350&lt;&gt;"",IFERROR(F350/MAX($E$6:E350),0),"")</f>
        <v/>
      </c>
    </row>
    <row r="351" customFormat="false" ht="15" hidden="false" customHeight="false" outlineLevel="0" collapsed="false">
      <c r="A351" s="9" t="str">
        <f aca="false">IF('📋 Trade Log'!B349&lt;&gt;"",'📋 Trade Log'!A349,"")</f>
        <v/>
      </c>
      <c r="B351" s="10" t="str">
        <f aca="false">IF('📋 Trade Log'!B349&lt;&gt;"",'📋 Trade Log'!B349,"")</f>
        <v/>
      </c>
      <c r="C351" s="12" t="str">
        <f aca="false">IF('📋 Trade Log'!L349&lt;&gt;"",'📋 Trade Log'!L349,"")</f>
        <v/>
      </c>
      <c r="D351" s="12" t="str">
        <f aca="false">IF(A351&lt;&gt;"",SUM($C$6:C351),"")</f>
        <v/>
      </c>
      <c r="E351" s="12" t="str">
        <f aca="false">IF(A351&lt;&gt;"",B$3+D351,"")</f>
        <v/>
      </c>
      <c r="F351" s="12" t="str">
        <f aca="false">IF(A351&lt;&gt;"",MIN(0,E351-MAX($E$6:E351)),"")</f>
        <v/>
      </c>
      <c r="G351" s="36" t="str">
        <f aca="false">IF(A351&lt;&gt;"",IFERROR(F351/MAX($E$6:E351),0),"")</f>
        <v/>
      </c>
    </row>
    <row r="352" customFormat="false" ht="15" hidden="false" customHeight="false" outlineLevel="0" collapsed="false">
      <c r="A352" s="4" t="str">
        <f aca="false">IF('📋 Trade Log'!B350&lt;&gt;"",'📋 Trade Log'!A350,"")</f>
        <v/>
      </c>
      <c r="B352" s="5" t="str">
        <f aca="false">IF('📋 Trade Log'!B350&lt;&gt;"",'📋 Trade Log'!B350,"")</f>
        <v/>
      </c>
      <c r="C352" s="7" t="str">
        <f aca="false">IF('📋 Trade Log'!L350&lt;&gt;"",'📋 Trade Log'!L350,"")</f>
        <v/>
      </c>
      <c r="D352" s="7" t="str">
        <f aca="false">IF(A352&lt;&gt;"",SUM($C$6:C352),"")</f>
        <v/>
      </c>
      <c r="E352" s="7" t="str">
        <f aca="false">IF(A352&lt;&gt;"",B$3+D352,"")</f>
        <v/>
      </c>
      <c r="F352" s="7" t="str">
        <f aca="false">IF(A352&lt;&gt;"",MIN(0,E352-MAX($E$6:E352)),"")</f>
        <v/>
      </c>
      <c r="G352" s="35" t="str">
        <f aca="false">IF(A352&lt;&gt;"",IFERROR(F352/MAX($E$6:E352),0),"")</f>
        <v/>
      </c>
    </row>
    <row r="353" customFormat="false" ht="15" hidden="false" customHeight="false" outlineLevel="0" collapsed="false">
      <c r="A353" s="9" t="str">
        <f aca="false">IF('📋 Trade Log'!B351&lt;&gt;"",'📋 Trade Log'!A351,"")</f>
        <v/>
      </c>
      <c r="B353" s="10" t="str">
        <f aca="false">IF('📋 Trade Log'!B351&lt;&gt;"",'📋 Trade Log'!B351,"")</f>
        <v/>
      </c>
      <c r="C353" s="12" t="str">
        <f aca="false">IF('📋 Trade Log'!L351&lt;&gt;"",'📋 Trade Log'!L351,"")</f>
        <v/>
      </c>
      <c r="D353" s="12" t="str">
        <f aca="false">IF(A353&lt;&gt;"",SUM($C$6:C353),"")</f>
        <v/>
      </c>
      <c r="E353" s="12" t="str">
        <f aca="false">IF(A353&lt;&gt;"",B$3+D353,"")</f>
        <v/>
      </c>
      <c r="F353" s="12" t="str">
        <f aca="false">IF(A353&lt;&gt;"",MIN(0,E353-MAX($E$6:E353)),"")</f>
        <v/>
      </c>
      <c r="G353" s="36" t="str">
        <f aca="false">IF(A353&lt;&gt;"",IFERROR(F353/MAX($E$6:E353),0),"")</f>
        <v/>
      </c>
    </row>
    <row r="354" customFormat="false" ht="15" hidden="false" customHeight="false" outlineLevel="0" collapsed="false">
      <c r="A354" s="4" t="str">
        <f aca="false">IF('📋 Trade Log'!B352&lt;&gt;"",'📋 Trade Log'!A352,"")</f>
        <v/>
      </c>
      <c r="B354" s="5" t="str">
        <f aca="false">IF('📋 Trade Log'!B352&lt;&gt;"",'📋 Trade Log'!B352,"")</f>
        <v/>
      </c>
      <c r="C354" s="7" t="str">
        <f aca="false">IF('📋 Trade Log'!L352&lt;&gt;"",'📋 Trade Log'!L352,"")</f>
        <v/>
      </c>
      <c r="D354" s="7" t="str">
        <f aca="false">IF(A354&lt;&gt;"",SUM($C$6:C354),"")</f>
        <v/>
      </c>
      <c r="E354" s="7" t="str">
        <f aca="false">IF(A354&lt;&gt;"",B$3+D354,"")</f>
        <v/>
      </c>
      <c r="F354" s="7" t="str">
        <f aca="false">IF(A354&lt;&gt;"",MIN(0,E354-MAX($E$6:E354)),"")</f>
        <v/>
      </c>
      <c r="G354" s="35" t="str">
        <f aca="false">IF(A354&lt;&gt;"",IFERROR(F354/MAX($E$6:E354),0),"")</f>
        <v/>
      </c>
    </row>
    <row r="355" customFormat="false" ht="15" hidden="false" customHeight="false" outlineLevel="0" collapsed="false">
      <c r="A355" s="9" t="str">
        <f aca="false">IF('📋 Trade Log'!B353&lt;&gt;"",'📋 Trade Log'!A353,"")</f>
        <v/>
      </c>
      <c r="B355" s="10" t="str">
        <f aca="false">IF('📋 Trade Log'!B353&lt;&gt;"",'📋 Trade Log'!B353,"")</f>
        <v/>
      </c>
      <c r="C355" s="12" t="str">
        <f aca="false">IF('📋 Trade Log'!L353&lt;&gt;"",'📋 Trade Log'!L353,"")</f>
        <v/>
      </c>
      <c r="D355" s="12" t="str">
        <f aca="false">IF(A355&lt;&gt;"",SUM($C$6:C355),"")</f>
        <v/>
      </c>
      <c r="E355" s="12" t="str">
        <f aca="false">IF(A355&lt;&gt;"",B$3+D355,"")</f>
        <v/>
      </c>
      <c r="F355" s="12" t="str">
        <f aca="false">IF(A355&lt;&gt;"",MIN(0,E355-MAX($E$6:E355)),"")</f>
        <v/>
      </c>
      <c r="G355" s="36" t="str">
        <f aca="false">IF(A355&lt;&gt;"",IFERROR(F355/MAX($E$6:E355),0),"")</f>
        <v/>
      </c>
    </row>
    <row r="356" customFormat="false" ht="15" hidden="false" customHeight="false" outlineLevel="0" collapsed="false">
      <c r="A356" s="4" t="str">
        <f aca="false">IF('📋 Trade Log'!B354&lt;&gt;"",'📋 Trade Log'!A354,"")</f>
        <v/>
      </c>
      <c r="B356" s="5" t="str">
        <f aca="false">IF('📋 Trade Log'!B354&lt;&gt;"",'📋 Trade Log'!B354,"")</f>
        <v/>
      </c>
      <c r="C356" s="7" t="str">
        <f aca="false">IF('📋 Trade Log'!L354&lt;&gt;"",'📋 Trade Log'!L354,"")</f>
        <v/>
      </c>
      <c r="D356" s="7" t="str">
        <f aca="false">IF(A356&lt;&gt;"",SUM($C$6:C356),"")</f>
        <v/>
      </c>
      <c r="E356" s="7" t="str">
        <f aca="false">IF(A356&lt;&gt;"",B$3+D356,"")</f>
        <v/>
      </c>
      <c r="F356" s="7" t="str">
        <f aca="false">IF(A356&lt;&gt;"",MIN(0,E356-MAX($E$6:E356)),"")</f>
        <v/>
      </c>
      <c r="G356" s="35" t="str">
        <f aca="false">IF(A356&lt;&gt;"",IFERROR(F356/MAX($E$6:E356),0),"")</f>
        <v/>
      </c>
    </row>
    <row r="357" customFormat="false" ht="15" hidden="false" customHeight="false" outlineLevel="0" collapsed="false">
      <c r="A357" s="9" t="str">
        <f aca="false">IF('📋 Trade Log'!B355&lt;&gt;"",'📋 Trade Log'!A355,"")</f>
        <v/>
      </c>
      <c r="B357" s="10" t="str">
        <f aca="false">IF('📋 Trade Log'!B355&lt;&gt;"",'📋 Trade Log'!B355,"")</f>
        <v/>
      </c>
      <c r="C357" s="12" t="str">
        <f aca="false">IF('📋 Trade Log'!L355&lt;&gt;"",'📋 Trade Log'!L355,"")</f>
        <v/>
      </c>
      <c r="D357" s="12" t="str">
        <f aca="false">IF(A357&lt;&gt;"",SUM($C$6:C357),"")</f>
        <v/>
      </c>
      <c r="E357" s="12" t="str">
        <f aca="false">IF(A357&lt;&gt;"",B$3+D357,"")</f>
        <v/>
      </c>
      <c r="F357" s="12" t="str">
        <f aca="false">IF(A357&lt;&gt;"",MIN(0,E357-MAX($E$6:E357)),"")</f>
        <v/>
      </c>
      <c r="G357" s="36" t="str">
        <f aca="false">IF(A357&lt;&gt;"",IFERROR(F357/MAX($E$6:E357),0),"")</f>
        <v/>
      </c>
    </row>
    <row r="358" customFormat="false" ht="15" hidden="false" customHeight="false" outlineLevel="0" collapsed="false">
      <c r="A358" s="4" t="str">
        <f aca="false">IF('📋 Trade Log'!B356&lt;&gt;"",'📋 Trade Log'!A356,"")</f>
        <v/>
      </c>
      <c r="B358" s="5" t="str">
        <f aca="false">IF('📋 Trade Log'!B356&lt;&gt;"",'📋 Trade Log'!B356,"")</f>
        <v/>
      </c>
      <c r="C358" s="7" t="str">
        <f aca="false">IF('📋 Trade Log'!L356&lt;&gt;"",'📋 Trade Log'!L356,"")</f>
        <v/>
      </c>
      <c r="D358" s="7" t="str">
        <f aca="false">IF(A358&lt;&gt;"",SUM($C$6:C358),"")</f>
        <v/>
      </c>
      <c r="E358" s="7" t="str">
        <f aca="false">IF(A358&lt;&gt;"",B$3+D358,"")</f>
        <v/>
      </c>
      <c r="F358" s="7" t="str">
        <f aca="false">IF(A358&lt;&gt;"",MIN(0,E358-MAX($E$6:E358)),"")</f>
        <v/>
      </c>
      <c r="G358" s="35" t="str">
        <f aca="false">IF(A358&lt;&gt;"",IFERROR(F358/MAX($E$6:E358),0),"")</f>
        <v/>
      </c>
    </row>
    <row r="359" customFormat="false" ht="15" hidden="false" customHeight="false" outlineLevel="0" collapsed="false">
      <c r="A359" s="9" t="str">
        <f aca="false">IF('📋 Trade Log'!B357&lt;&gt;"",'📋 Trade Log'!A357,"")</f>
        <v/>
      </c>
      <c r="B359" s="10" t="str">
        <f aca="false">IF('📋 Trade Log'!B357&lt;&gt;"",'📋 Trade Log'!B357,"")</f>
        <v/>
      </c>
      <c r="C359" s="12" t="str">
        <f aca="false">IF('📋 Trade Log'!L357&lt;&gt;"",'📋 Trade Log'!L357,"")</f>
        <v/>
      </c>
      <c r="D359" s="12" t="str">
        <f aca="false">IF(A359&lt;&gt;"",SUM($C$6:C359),"")</f>
        <v/>
      </c>
      <c r="E359" s="12" t="str">
        <f aca="false">IF(A359&lt;&gt;"",B$3+D359,"")</f>
        <v/>
      </c>
      <c r="F359" s="12" t="str">
        <f aca="false">IF(A359&lt;&gt;"",MIN(0,E359-MAX($E$6:E359)),"")</f>
        <v/>
      </c>
      <c r="G359" s="36" t="str">
        <f aca="false">IF(A359&lt;&gt;"",IFERROR(F359/MAX($E$6:E359),0),"")</f>
        <v/>
      </c>
    </row>
    <row r="360" customFormat="false" ht="15" hidden="false" customHeight="false" outlineLevel="0" collapsed="false">
      <c r="A360" s="4" t="str">
        <f aca="false">IF('📋 Trade Log'!B358&lt;&gt;"",'📋 Trade Log'!A358,"")</f>
        <v/>
      </c>
      <c r="B360" s="5" t="str">
        <f aca="false">IF('📋 Trade Log'!B358&lt;&gt;"",'📋 Trade Log'!B358,"")</f>
        <v/>
      </c>
      <c r="C360" s="7" t="str">
        <f aca="false">IF('📋 Trade Log'!L358&lt;&gt;"",'📋 Trade Log'!L358,"")</f>
        <v/>
      </c>
      <c r="D360" s="7" t="str">
        <f aca="false">IF(A360&lt;&gt;"",SUM($C$6:C360),"")</f>
        <v/>
      </c>
      <c r="E360" s="7" t="str">
        <f aca="false">IF(A360&lt;&gt;"",B$3+D360,"")</f>
        <v/>
      </c>
      <c r="F360" s="7" t="str">
        <f aca="false">IF(A360&lt;&gt;"",MIN(0,E360-MAX($E$6:E360)),"")</f>
        <v/>
      </c>
      <c r="G360" s="35" t="str">
        <f aca="false">IF(A360&lt;&gt;"",IFERROR(F360/MAX($E$6:E360),0),"")</f>
        <v/>
      </c>
    </row>
    <row r="361" customFormat="false" ht="15" hidden="false" customHeight="false" outlineLevel="0" collapsed="false">
      <c r="A361" s="9" t="str">
        <f aca="false">IF('📋 Trade Log'!B359&lt;&gt;"",'📋 Trade Log'!A359,"")</f>
        <v/>
      </c>
      <c r="B361" s="10" t="str">
        <f aca="false">IF('📋 Trade Log'!B359&lt;&gt;"",'📋 Trade Log'!B359,"")</f>
        <v/>
      </c>
      <c r="C361" s="12" t="str">
        <f aca="false">IF('📋 Trade Log'!L359&lt;&gt;"",'📋 Trade Log'!L359,"")</f>
        <v/>
      </c>
      <c r="D361" s="12" t="str">
        <f aca="false">IF(A361&lt;&gt;"",SUM($C$6:C361),"")</f>
        <v/>
      </c>
      <c r="E361" s="12" t="str">
        <f aca="false">IF(A361&lt;&gt;"",B$3+D361,"")</f>
        <v/>
      </c>
      <c r="F361" s="12" t="str">
        <f aca="false">IF(A361&lt;&gt;"",MIN(0,E361-MAX($E$6:E361)),"")</f>
        <v/>
      </c>
      <c r="G361" s="36" t="str">
        <f aca="false">IF(A361&lt;&gt;"",IFERROR(F361/MAX($E$6:E361),0),"")</f>
        <v/>
      </c>
    </row>
    <row r="362" customFormat="false" ht="15" hidden="false" customHeight="false" outlineLevel="0" collapsed="false">
      <c r="A362" s="4" t="str">
        <f aca="false">IF('📋 Trade Log'!B360&lt;&gt;"",'📋 Trade Log'!A360,"")</f>
        <v/>
      </c>
      <c r="B362" s="5" t="str">
        <f aca="false">IF('📋 Trade Log'!B360&lt;&gt;"",'📋 Trade Log'!B360,"")</f>
        <v/>
      </c>
      <c r="C362" s="7" t="str">
        <f aca="false">IF('📋 Trade Log'!L360&lt;&gt;"",'📋 Trade Log'!L360,"")</f>
        <v/>
      </c>
      <c r="D362" s="7" t="str">
        <f aca="false">IF(A362&lt;&gt;"",SUM($C$6:C362),"")</f>
        <v/>
      </c>
      <c r="E362" s="7" t="str">
        <f aca="false">IF(A362&lt;&gt;"",B$3+D362,"")</f>
        <v/>
      </c>
      <c r="F362" s="7" t="str">
        <f aca="false">IF(A362&lt;&gt;"",MIN(0,E362-MAX($E$6:E362)),"")</f>
        <v/>
      </c>
      <c r="G362" s="35" t="str">
        <f aca="false">IF(A362&lt;&gt;"",IFERROR(F362/MAX($E$6:E362),0),"")</f>
        <v/>
      </c>
    </row>
    <row r="363" customFormat="false" ht="15" hidden="false" customHeight="false" outlineLevel="0" collapsed="false">
      <c r="A363" s="9" t="str">
        <f aca="false">IF('📋 Trade Log'!B361&lt;&gt;"",'📋 Trade Log'!A361,"")</f>
        <v/>
      </c>
      <c r="B363" s="10" t="str">
        <f aca="false">IF('📋 Trade Log'!B361&lt;&gt;"",'📋 Trade Log'!B361,"")</f>
        <v/>
      </c>
      <c r="C363" s="12" t="str">
        <f aca="false">IF('📋 Trade Log'!L361&lt;&gt;"",'📋 Trade Log'!L361,"")</f>
        <v/>
      </c>
      <c r="D363" s="12" t="str">
        <f aca="false">IF(A363&lt;&gt;"",SUM($C$6:C363),"")</f>
        <v/>
      </c>
      <c r="E363" s="12" t="str">
        <f aca="false">IF(A363&lt;&gt;"",B$3+D363,"")</f>
        <v/>
      </c>
      <c r="F363" s="12" t="str">
        <f aca="false">IF(A363&lt;&gt;"",MIN(0,E363-MAX($E$6:E363)),"")</f>
        <v/>
      </c>
      <c r="G363" s="36" t="str">
        <f aca="false">IF(A363&lt;&gt;"",IFERROR(F363/MAX($E$6:E363),0),"")</f>
        <v/>
      </c>
    </row>
    <row r="364" customFormat="false" ht="15" hidden="false" customHeight="false" outlineLevel="0" collapsed="false">
      <c r="A364" s="4" t="str">
        <f aca="false">IF('📋 Trade Log'!B362&lt;&gt;"",'📋 Trade Log'!A362,"")</f>
        <v/>
      </c>
      <c r="B364" s="5" t="str">
        <f aca="false">IF('📋 Trade Log'!B362&lt;&gt;"",'📋 Trade Log'!B362,"")</f>
        <v/>
      </c>
      <c r="C364" s="7" t="str">
        <f aca="false">IF('📋 Trade Log'!L362&lt;&gt;"",'📋 Trade Log'!L362,"")</f>
        <v/>
      </c>
      <c r="D364" s="7" t="str">
        <f aca="false">IF(A364&lt;&gt;"",SUM($C$6:C364),"")</f>
        <v/>
      </c>
      <c r="E364" s="7" t="str">
        <f aca="false">IF(A364&lt;&gt;"",B$3+D364,"")</f>
        <v/>
      </c>
      <c r="F364" s="7" t="str">
        <f aca="false">IF(A364&lt;&gt;"",MIN(0,E364-MAX($E$6:E364)),"")</f>
        <v/>
      </c>
      <c r="G364" s="35" t="str">
        <f aca="false">IF(A364&lt;&gt;"",IFERROR(F364/MAX($E$6:E364),0),"")</f>
        <v/>
      </c>
    </row>
    <row r="365" customFormat="false" ht="15" hidden="false" customHeight="false" outlineLevel="0" collapsed="false">
      <c r="A365" s="9" t="str">
        <f aca="false">IF('📋 Trade Log'!B363&lt;&gt;"",'📋 Trade Log'!A363,"")</f>
        <v/>
      </c>
      <c r="B365" s="10" t="str">
        <f aca="false">IF('📋 Trade Log'!B363&lt;&gt;"",'📋 Trade Log'!B363,"")</f>
        <v/>
      </c>
      <c r="C365" s="12" t="str">
        <f aca="false">IF('📋 Trade Log'!L363&lt;&gt;"",'📋 Trade Log'!L363,"")</f>
        <v/>
      </c>
      <c r="D365" s="12" t="str">
        <f aca="false">IF(A365&lt;&gt;"",SUM($C$6:C365),"")</f>
        <v/>
      </c>
      <c r="E365" s="12" t="str">
        <f aca="false">IF(A365&lt;&gt;"",B$3+D365,"")</f>
        <v/>
      </c>
      <c r="F365" s="12" t="str">
        <f aca="false">IF(A365&lt;&gt;"",MIN(0,E365-MAX($E$6:E365)),"")</f>
        <v/>
      </c>
      <c r="G365" s="36" t="str">
        <f aca="false">IF(A365&lt;&gt;"",IFERROR(F365/MAX($E$6:E365),0),"")</f>
        <v/>
      </c>
    </row>
    <row r="366" customFormat="false" ht="15" hidden="false" customHeight="false" outlineLevel="0" collapsed="false">
      <c r="A366" s="4" t="str">
        <f aca="false">IF('📋 Trade Log'!B364&lt;&gt;"",'📋 Trade Log'!A364,"")</f>
        <v/>
      </c>
      <c r="B366" s="5" t="str">
        <f aca="false">IF('📋 Trade Log'!B364&lt;&gt;"",'📋 Trade Log'!B364,"")</f>
        <v/>
      </c>
      <c r="C366" s="7" t="str">
        <f aca="false">IF('📋 Trade Log'!L364&lt;&gt;"",'📋 Trade Log'!L364,"")</f>
        <v/>
      </c>
      <c r="D366" s="7" t="str">
        <f aca="false">IF(A366&lt;&gt;"",SUM($C$6:C366),"")</f>
        <v/>
      </c>
      <c r="E366" s="7" t="str">
        <f aca="false">IF(A366&lt;&gt;"",B$3+D366,"")</f>
        <v/>
      </c>
      <c r="F366" s="7" t="str">
        <f aca="false">IF(A366&lt;&gt;"",MIN(0,E366-MAX($E$6:E366)),"")</f>
        <v/>
      </c>
      <c r="G366" s="35" t="str">
        <f aca="false">IF(A366&lt;&gt;"",IFERROR(F366/MAX($E$6:E366),0),"")</f>
        <v/>
      </c>
    </row>
    <row r="367" customFormat="false" ht="15" hidden="false" customHeight="false" outlineLevel="0" collapsed="false">
      <c r="A367" s="9" t="str">
        <f aca="false">IF('📋 Trade Log'!B365&lt;&gt;"",'📋 Trade Log'!A365,"")</f>
        <v/>
      </c>
      <c r="B367" s="10" t="str">
        <f aca="false">IF('📋 Trade Log'!B365&lt;&gt;"",'📋 Trade Log'!B365,"")</f>
        <v/>
      </c>
      <c r="C367" s="12" t="str">
        <f aca="false">IF('📋 Trade Log'!L365&lt;&gt;"",'📋 Trade Log'!L365,"")</f>
        <v/>
      </c>
      <c r="D367" s="12" t="str">
        <f aca="false">IF(A367&lt;&gt;"",SUM($C$6:C367),"")</f>
        <v/>
      </c>
      <c r="E367" s="12" t="str">
        <f aca="false">IF(A367&lt;&gt;"",B$3+D367,"")</f>
        <v/>
      </c>
      <c r="F367" s="12" t="str">
        <f aca="false">IF(A367&lt;&gt;"",MIN(0,E367-MAX($E$6:E367)),"")</f>
        <v/>
      </c>
      <c r="G367" s="36" t="str">
        <f aca="false">IF(A367&lt;&gt;"",IFERROR(F367/MAX($E$6:E367),0),"")</f>
        <v/>
      </c>
    </row>
    <row r="368" customFormat="false" ht="15" hidden="false" customHeight="false" outlineLevel="0" collapsed="false">
      <c r="A368" s="4" t="str">
        <f aca="false">IF('📋 Trade Log'!B366&lt;&gt;"",'📋 Trade Log'!A366,"")</f>
        <v/>
      </c>
      <c r="B368" s="5" t="str">
        <f aca="false">IF('📋 Trade Log'!B366&lt;&gt;"",'📋 Trade Log'!B366,"")</f>
        <v/>
      </c>
      <c r="C368" s="7" t="str">
        <f aca="false">IF('📋 Trade Log'!L366&lt;&gt;"",'📋 Trade Log'!L366,"")</f>
        <v/>
      </c>
      <c r="D368" s="7" t="str">
        <f aca="false">IF(A368&lt;&gt;"",SUM($C$6:C368),"")</f>
        <v/>
      </c>
      <c r="E368" s="7" t="str">
        <f aca="false">IF(A368&lt;&gt;"",B$3+D368,"")</f>
        <v/>
      </c>
      <c r="F368" s="7" t="str">
        <f aca="false">IF(A368&lt;&gt;"",MIN(0,E368-MAX($E$6:E368)),"")</f>
        <v/>
      </c>
      <c r="G368" s="35" t="str">
        <f aca="false">IF(A368&lt;&gt;"",IFERROR(F368/MAX($E$6:E368),0),"")</f>
        <v/>
      </c>
    </row>
    <row r="369" customFormat="false" ht="15" hidden="false" customHeight="false" outlineLevel="0" collapsed="false">
      <c r="A369" s="9" t="str">
        <f aca="false">IF('📋 Trade Log'!B367&lt;&gt;"",'📋 Trade Log'!A367,"")</f>
        <v/>
      </c>
      <c r="B369" s="10" t="str">
        <f aca="false">IF('📋 Trade Log'!B367&lt;&gt;"",'📋 Trade Log'!B367,"")</f>
        <v/>
      </c>
      <c r="C369" s="12" t="str">
        <f aca="false">IF('📋 Trade Log'!L367&lt;&gt;"",'📋 Trade Log'!L367,"")</f>
        <v/>
      </c>
      <c r="D369" s="12" t="str">
        <f aca="false">IF(A369&lt;&gt;"",SUM($C$6:C369),"")</f>
        <v/>
      </c>
      <c r="E369" s="12" t="str">
        <f aca="false">IF(A369&lt;&gt;"",B$3+D369,"")</f>
        <v/>
      </c>
      <c r="F369" s="12" t="str">
        <f aca="false">IF(A369&lt;&gt;"",MIN(0,E369-MAX($E$6:E369)),"")</f>
        <v/>
      </c>
      <c r="G369" s="36" t="str">
        <f aca="false">IF(A369&lt;&gt;"",IFERROR(F369/MAX($E$6:E369),0),"")</f>
        <v/>
      </c>
    </row>
    <row r="370" customFormat="false" ht="15" hidden="false" customHeight="false" outlineLevel="0" collapsed="false">
      <c r="A370" s="4" t="str">
        <f aca="false">IF('📋 Trade Log'!B368&lt;&gt;"",'📋 Trade Log'!A368,"")</f>
        <v/>
      </c>
      <c r="B370" s="5" t="str">
        <f aca="false">IF('📋 Trade Log'!B368&lt;&gt;"",'📋 Trade Log'!B368,"")</f>
        <v/>
      </c>
      <c r="C370" s="7" t="str">
        <f aca="false">IF('📋 Trade Log'!L368&lt;&gt;"",'📋 Trade Log'!L368,"")</f>
        <v/>
      </c>
      <c r="D370" s="7" t="str">
        <f aca="false">IF(A370&lt;&gt;"",SUM($C$6:C370),"")</f>
        <v/>
      </c>
      <c r="E370" s="7" t="str">
        <f aca="false">IF(A370&lt;&gt;"",B$3+D370,"")</f>
        <v/>
      </c>
      <c r="F370" s="7" t="str">
        <f aca="false">IF(A370&lt;&gt;"",MIN(0,E370-MAX($E$6:E370)),"")</f>
        <v/>
      </c>
      <c r="G370" s="35" t="str">
        <f aca="false">IF(A370&lt;&gt;"",IFERROR(F370/MAX($E$6:E370),0),"")</f>
        <v/>
      </c>
    </row>
    <row r="371" customFormat="false" ht="15" hidden="false" customHeight="false" outlineLevel="0" collapsed="false">
      <c r="A371" s="9" t="str">
        <f aca="false">IF('📋 Trade Log'!B369&lt;&gt;"",'📋 Trade Log'!A369,"")</f>
        <v/>
      </c>
      <c r="B371" s="10" t="str">
        <f aca="false">IF('📋 Trade Log'!B369&lt;&gt;"",'📋 Trade Log'!B369,"")</f>
        <v/>
      </c>
      <c r="C371" s="12" t="str">
        <f aca="false">IF('📋 Trade Log'!L369&lt;&gt;"",'📋 Trade Log'!L369,"")</f>
        <v/>
      </c>
      <c r="D371" s="12" t="str">
        <f aca="false">IF(A371&lt;&gt;"",SUM($C$6:C371),"")</f>
        <v/>
      </c>
      <c r="E371" s="12" t="str">
        <f aca="false">IF(A371&lt;&gt;"",B$3+D371,"")</f>
        <v/>
      </c>
      <c r="F371" s="12" t="str">
        <f aca="false">IF(A371&lt;&gt;"",MIN(0,E371-MAX($E$6:E371)),"")</f>
        <v/>
      </c>
      <c r="G371" s="36" t="str">
        <f aca="false">IF(A371&lt;&gt;"",IFERROR(F371/MAX($E$6:E371),0),"")</f>
        <v/>
      </c>
    </row>
    <row r="372" customFormat="false" ht="15" hidden="false" customHeight="false" outlineLevel="0" collapsed="false">
      <c r="A372" s="4" t="str">
        <f aca="false">IF('📋 Trade Log'!B370&lt;&gt;"",'📋 Trade Log'!A370,"")</f>
        <v/>
      </c>
      <c r="B372" s="5" t="str">
        <f aca="false">IF('📋 Trade Log'!B370&lt;&gt;"",'📋 Trade Log'!B370,"")</f>
        <v/>
      </c>
      <c r="C372" s="7" t="str">
        <f aca="false">IF('📋 Trade Log'!L370&lt;&gt;"",'📋 Trade Log'!L370,"")</f>
        <v/>
      </c>
      <c r="D372" s="7" t="str">
        <f aca="false">IF(A372&lt;&gt;"",SUM($C$6:C372),"")</f>
        <v/>
      </c>
      <c r="E372" s="7" t="str">
        <f aca="false">IF(A372&lt;&gt;"",B$3+D372,"")</f>
        <v/>
      </c>
      <c r="F372" s="7" t="str">
        <f aca="false">IF(A372&lt;&gt;"",MIN(0,E372-MAX($E$6:E372)),"")</f>
        <v/>
      </c>
      <c r="G372" s="35" t="str">
        <f aca="false">IF(A372&lt;&gt;"",IFERROR(F372/MAX($E$6:E372),0),"")</f>
        <v/>
      </c>
    </row>
    <row r="373" customFormat="false" ht="15" hidden="false" customHeight="false" outlineLevel="0" collapsed="false">
      <c r="A373" s="9" t="str">
        <f aca="false">IF('📋 Trade Log'!B371&lt;&gt;"",'📋 Trade Log'!A371,"")</f>
        <v/>
      </c>
      <c r="B373" s="10" t="str">
        <f aca="false">IF('📋 Trade Log'!B371&lt;&gt;"",'📋 Trade Log'!B371,"")</f>
        <v/>
      </c>
      <c r="C373" s="12" t="str">
        <f aca="false">IF('📋 Trade Log'!L371&lt;&gt;"",'📋 Trade Log'!L371,"")</f>
        <v/>
      </c>
      <c r="D373" s="12" t="str">
        <f aca="false">IF(A373&lt;&gt;"",SUM($C$6:C373),"")</f>
        <v/>
      </c>
      <c r="E373" s="12" t="str">
        <f aca="false">IF(A373&lt;&gt;"",B$3+D373,"")</f>
        <v/>
      </c>
      <c r="F373" s="12" t="str">
        <f aca="false">IF(A373&lt;&gt;"",MIN(0,E373-MAX($E$6:E373)),"")</f>
        <v/>
      </c>
      <c r="G373" s="36" t="str">
        <f aca="false">IF(A373&lt;&gt;"",IFERROR(F373/MAX($E$6:E373),0),"")</f>
        <v/>
      </c>
    </row>
    <row r="374" customFormat="false" ht="15" hidden="false" customHeight="false" outlineLevel="0" collapsed="false">
      <c r="A374" s="4" t="str">
        <f aca="false">IF('📋 Trade Log'!B372&lt;&gt;"",'📋 Trade Log'!A372,"")</f>
        <v/>
      </c>
      <c r="B374" s="5" t="str">
        <f aca="false">IF('📋 Trade Log'!B372&lt;&gt;"",'📋 Trade Log'!B372,"")</f>
        <v/>
      </c>
      <c r="C374" s="7" t="str">
        <f aca="false">IF('📋 Trade Log'!L372&lt;&gt;"",'📋 Trade Log'!L372,"")</f>
        <v/>
      </c>
      <c r="D374" s="7" t="str">
        <f aca="false">IF(A374&lt;&gt;"",SUM($C$6:C374),"")</f>
        <v/>
      </c>
      <c r="E374" s="7" t="str">
        <f aca="false">IF(A374&lt;&gt;"",B$3+D374,"")</f>
        <v/>
      </c>
      <c r="F374" s="7" t="str">
        <f aca="false">IF(A374&lt;&gt;"",MIN(0,E374-MAX($E$6:E374)),"")</f>
        <v/>
      </c>
      <c r="G374" s="35" t="str">
        <f aca="false">IF(A374&lt;&gt;"",IFERROR(F374/MAX($E$6:E374),0),"")</f>
        <v/>
      </c>
    </row>
    <row r="375" customFormat="false" ht="15" hidden="false" customHeight="false" outlineLevel="0" collapsed="false">
      <c r="A375" s="9" t="str">
        <f aca="false">IF('📋 Trade Log'!B373&lt;&gt;"",'📋 Trade Log'!A373,"")</f>
        <v/>
      </c>
      <c r="B375" s="10" t="str">
        <f aca="false">IF('📋 Trade Log'!B373&lt;&gt;"",'📋 Trade Log'!B373,"")</f>
        <v/>
      </c>
      <c r="C375" s="12" t="str">
        <f aca="false">IF('📋 Trade Log'!L373&lt;&gt;"",'📋 Trade Log'!L373,"")</f>
        <v/>
      </c>
      <c r="D375" s="12" t="str">
        <f aca="false">IF(A375&lt;&gt;"",SUM($C$6:C375),"")</f>
        <v/>
      </c>
      <c r="E375" s="12" t="str">
        <f aca="false">IF(A375&lt;&gt;"",B$3+D375,"")</f>
        <v/>
      </c>
      <c r="F375" s="12" t="str">
        <f aca="false">IF(A375&lt;&gt;"",MIN(0,E375-MAX($E$6:E375)),"")</f>
        <v/>
      </c>
      <c r="G375" s="36" t="str">
        <f aca="false">IF(A375&lt;&gt;"",IFERROR(F375/MAX($E$6:E375),0),"")</f>
        <v/>
      </c>
    </row>
    <row r="376" customFormat="false" ht="15" hidden="false" customHeight="false" outlineLevel="0" collapsed="false">
      <c r="A376" s="4" t="str">
        <f aca="false">IF('📋 Trade Log'!B374&lt;&gt;"",'📋 Trade Log'!A374,"")</f>
        <v/>
      </c>
      <c r="B376" s="5" t="str">
        <f aca="false">IF('📋 Trade Log'!B374&lt;&gt;"",'📋 Trade Log'!B374,"")</f>
        <v/>
      </c>
      <c r="C376" s="7" t="str">
        <f aca="false">IF('📋 Trade Log'!L374&lt;&gt;"",'📋 Trade Log'!L374,"")</f>
        <v/>
      </c>
      <c r="D376" s="7" t="str">
        <f aca="false">IF(A376&lt;&gt;"",SUM($C$6:C376),"")</f>
        <v/>
      </c>
      <c r="E376" s="7" t="str">
        <f aca="false">IF(A376&lt;&gt;"",B$3+D376,"")</f>
        <v/>
      </c>
      <c r="F376" s="7" t="str">
        <f aca="false">IF(A376&lt;&gt;"",MIN(0,E376-MAX($E$6:E376)),"")</f>
        <v/>
      </c>
      <c r="G376" s="35" t="str">
        <f aca="false">IF(A376&lt;&gt;"",IFERROR(F376/MAX($E$6:E376),0),"")</f>
        <v/>
      </c>
    </row>
    <row r="377" customFormat="false" ht="15" hidden="false" customHeight="false" outlineLevel="0" collapsed="false">
      <c r="A377" s="9" t="str">
        <f aca="false">IF('📋 Trade Log'!B375&lt;&gt;"",'📋 Trade Log'!A375,"")</f>
        <v/>
      </c>
      <c r="B377" s="10" t="str">
        <f aca="false">IF('📋 Trade Log'!B375&lt;&gt;"",'📋 Trade Log'!B375,"")</f>
        <v/>
      </c>
      <c r="C377" s="12" t="str">
        <f aca="false">IF('📋 Trade Log'!L375&lt;&gt;"",'📋 Trade Log'!L375,"")</f>
        <v/>
      </c>
      <c r="D377" s="12" t="str">
        <f aca="false">IF(A377&lt;&gt;"",SUM($C$6:C377),"")</f>
        <v/>
      </c>
      <c r="E377" s="12" t="str">
        <f aca="false">IF(A377&lt;&gt;"",B$3+D377,"")</f>
        <v/>
      </c>
      <c r="F377" s="12" t="str">
        <f aca="false">IF(A377&lt;&gt;"",MIN(0,E377-MAX($E$6:E377)),"")</f>
        <v/>
      </c>
      <c r="G377" s="36" t="str">
        <f aca="false">IF(A377&lt;&gt;"",IFERROR(F377/MAX($E$6:E377),0),"")</f>
        <v/>
      </c>
    </row>
    <row r="378" customFormat="false" ht="15" hidden="false" customHeight="false" outlineLevel="0" collapsed="false">
      <c r="A378" s="4" t="str">
        <f aca="false">IF('📋 Trade Log'!B376&lt;&gt;"",'📋 Trade Log'!A376,"")</f>
        <v/>
      </c>
      <c r="B378" s="5" t="str">
        <f aca="false">IF('📋 Trade Log'!B376&lt;&gt;"",'📋 Trade Log'!B376,"")</f>
        <v/>
      </c>
      <c r="C378" s="7" t="str">
        <f aca="false">IF('📋 Trade Log'!L376&lt;&gt;"",'📋 Trade Log'!L376,"")</f>
        <v/>
      </c>
      <c r="D378" s="7" t="str">
        <f aca="false">IF(A378&lt;&gt;"",SUM($C$6:C378),"")</f>
        <v/>
      </c>
      <c r="E378" s="7" t="str">
        <f aca="false">IF(A378&lt;&gt;"",B$3+D378,"")</f>
        <v/>
      </c>
      <c r="F378" s="7" t="str">
        <f aca="false">IF(A378&lt;&gt;"",MIN(0,E378-MAX($E$6:E378)),"")</f>
        <v/>
      </c>
      <c r="G378" s="35" t="str">
        <f aca="false">IF(A378&lt;&gt;"",IFERROR(F378/MAX($E$6:E378),0),"")</f>
        <v/>
      </c>
    </row>
    <row r="379" customFormat="false" ht="15" hidden="false" customHeight="false" outlineLevel="0" collapsed="false">
      <c r="A379" s="9" t="str">
        <f aca="false">IF('📋 Trade Log'!B377&lt;&gt;"",'📋 Trade Log'!A377,"")</f>
        <v/>
      </c>
      <c r="B379" s="10" t="str">
        <f aca="false">IF('📋 Trade Log'!B377&lt;&gt;"",'📋 Trade Log'!B377,"")</f>
        <v/>
      </c>
      <c r="C379" s="12" t="str">
        <f aca="false">IF('📋 Trade Log'!L377&lt;&gt;"",'📋 Trade Log'!L377,"")</f>
        <v/>
      </c>
      <c r="D379" s="12" t="str">
        <f aca="false">IF(A379&lt;&gt;"",SUM($C$6:C379),"")</f>
        <v/>
      </c>
      <c r="E379" s="12" t="str">
        <f aca="false">IF(A379&lt;&gt;"",B$3+D379,"")</f>
        <v/>
      </c>
      <c r="F379" s="12" t="str">
        <f aca="false">IF(A379&lt;&gt;"",MIN(0,E379-MAX($E$6:E379)),"")</f>
        <v/>
      </c>
      <c r="G379" s="36" t="str">
        <f aca="false">IF(A379&lt;&gt;"",IFERROR(F379/MAX($E$6:E379),0),"")</f>
        <v/>
      </c>
    </row>
    <row r="380" customFormat="false" ht="15" hidden="false" customHeight="false" outlineLevel="0" collapsed="false">
      <c r="A380" s="4" t="str">
        <f aca="false">IF('📋 Trade Log'!B378&lt;&gt;"",'📋 Trade Log'!A378,"")</f>
        <v/>
      </c>
      <c r="B380" s="5" t="str">
        <f aca="false">IF('📋 Trade Log'!B378&lt;&gt;"",'📋 Trade Log'!B378,"")</f>
        <v/>
      </c>
      <c r="C380" s="7" t="str">
        <f aca="false">IF('📋 Trade Log'!L378&lt;&gt;"",'📋 Trade Log'!L378,"")</f>
        <v/>
      </c>
      <c r="D380" s="7" t="str">
        <f aca="false">IF(A380&lt;&gt;"",SUM($C$6:C380),"")</f>
        <v/>
      </c>
      <c r="E380" s="7" t="str">
        <f aca="false">IF(A380&lt;&gt;"",B$3+D380,"")</f>
        <v/>
      </c>
      <c r="F380" s="7" t="str">
        <f aca="false">IF(A380&lt;&gt;"",MIN(0,E380-MAX($E$6:E380)),"")</f>
        <v/>
      </c>
      <c r="G380" s="35" t="str">
        <f aca="false">IF(A380&lt;&gt;"",IFERROR(F380/MAX($E$6:E380),0),"")</f>
        <v/>
      </c>
    </row>
    <row r="381" customFormat="false" ht="15" hidden="false" customHeight="false" outlineLevel="0" collapsed="false">
      <c r="A381" s="9" t="str">
        <f aca="false">IF('📋 Trade Log'!B379&lt;&gt;"",'📋 Trade Log'!A379,"")</f>
        <v/>
      </c>
      <c r="B381" s="10" t="str">
        <f aca="false">IF('📋 Trade Log'!B379&lt;&gt;"",'📋 Trade Log'!B379,"")</f>
        <v/>
      </c>
      <c r="C381" s="12" t="str">
        <f aca="false">IF('📋 Trade Log'!L379&lt;&gt;"",'📋 Trade Log'!L379,"")</f>
        <v/>
      </c>
      <c r="D381" s="12" t="str">
        <f aca="false">IF(A381&lt;&gt;"",SUM($C$6:C381),"")</f>
        <v/>
      </c>
      <c r="E381" s="12" t="str">
        <f aca="false">IF(A381&lt;&gt;"",B$3+D381,"")</f>
        <v/>
      </c>
      <c r="F381" s="12" t="str">
        <f aca="false">IF(A381&lt;&gt;"",MIN(0,E381-MAX($E$6:E381)),"")</f>
        <v/>
      </c>
      <c r="G381" s="36" t="str">
        <f aca="false">IF(A381&lt;&gt;"",IFERROR(F381/MAX($E$6:E381),0),"")</f>
        <v/>
      </c>
    </row>
    <row r="382" customFormat="false" ht="15" hidden="false" customHeight="false" outlineLevel="0" collapsed="false">
      <c r="A382" s="4" t="str">
        <f aca="false">IF('📋 Trade Log'!B380&lt;&gt;"",'📋 Trade Log'!A380,"")</f>
        <v/>
      </c>
      <c r="B382" s="5" t="str">
        <f aca="false">IF('📋 Trade Log'!B380&lt;&gt;"",'📋 Trade Log'!B380,"")</f>
        <v/>
      </c>
      <c r="C382" s="7" t="str">
        <f aca="false">IF('📋 Trade Log'!L380&lt;&gt;"",'📋 Trade Log'!L380,"")</f>
        <v/>
      </c>
      <c r="D382" s="7" t="str">
        <f aca="false">IF(A382&lt;&gt;"",SUM($C$6:C382),"")</f>
        <v/>
      </c>
      <c r="E382" s="7" t="str">
        <f aca="false">IF(A382&lt;&gt;"",B$3+D382,"")</f>
        <v/>
      </c>
      <c r="F382" s="7" t="str">
        <f aca="false">IF(A382&lt;&gt;"",MIN(0,E382-MAX($E$6:E382)),"")</f>
        <v/>
      </c>
      <c r="G382" s="35" t="str">
        <f aca="false">IF(A382&lt;&gt;"",IFERROR(F382/MAX($E$6:E382),0),"")</f>
        <v/>
      </c>
    </row>
    <row r="383" customFormat="false" ht="15" hidden="false" customHeight="false" outlineLevel="0" collapsed="false">
      <c r="A383" s="9" t="str">
        <f aca="false">IF('📋 Trade Log'!B381&lt;&gt;"",'📋 Trade Log'!A381,"")</f>
        <v/>
      </c>
      <c r="B383" s="10" t="str">
        <f aca="false">IF('📋 Trade Log'!B381&lt;&gt;"",'📋 Trade Log'!B381,"")</f>
        <v/>
      </c>
      <c r="C383" s="12" t="str">
        <f aca="false">IF('📋 Trade Log'!L381&lt;&gt;"",'📋 Trade Log'!L381,"")</f>
        <v/>
      </c>
      <c r="D383" s="12" t="str">
        <f aca="false">IF(A383&lt;&gt;"",SUM($C$6:C383),"")</f>
        <v/>
      </c>
      <c r="E383" s="12" t="str">
        <f aca="false">IF(A383&lt;&gt;"",B$3+D383,"")</f>
        <v/>
      </c>
      <c r="F383" s="12" t="str">
        <f aca="false">IF(A383&lt;&gt;"",MIN(0,E383-MAX($E$6:E383)),"")</f>
        <v/>
      </c>
      <c r="G383" s="36" t="str">
        <f aca="false">IF(A383&lt;&gt;"",IFERROR(F383/MAX($E$6:E383),0),"")</f>
        <v/>
      </c>
    </row>
    <row r="384" customFormat="false" ht="15" hidden="false" customHeight="false" outlineLevel="0" collapsed="false">
      <c r="A384" s="4" t="str">
        <f aca="false">IF('📋 Trade Log'!B382&lt;&gt;"",'📋 Trade Log'!A382,"")</f>
        <v/>
      </c>
      <c r="B384" s="5" t="str">
        <f aca="false">IF('📋 Trade Log'!B382&lt;&gt;"",'📋 Trade Log'!B382,"")</f>
        <v/>
      </c>
      <c r="C384" s="7" t="str">
        <f aca="false">IF('📋 Trade Log'!L382&lt;&gt;"",'📋 Trade Log'!L382,"")</f>
        <v/>
      </c>
      <c r="D384" s="7" t="str">
        <f aca="false">IF(A384&lt;&gt;"",SUM($C$6:C384),"")</f>
        <v/>
      </c>
      <c r="E384" s="7" t="str">
        <f aca="false">IF(A384&lt;&gt;"",B$3+D384,"")</f>
        <v/>
      </c>
      <c r="F384" s="7" t="str">
        <f aca="false">IF(A384&lt;&gt;"",MIN(0,E384-MAX($E$6:E384)),"")</f>
        <v/>
      </c>
      <c r="G384" s="35" t="str">
        <f aca="false">IF(A384&lt;&gt;"",IFERROR(F384/MAX($E$6:E384),0),"")</f>
        <v/>
      </c>
    </row>
    <row r="385" customFormat="false" ht="15" hidden="false" customHeight="false" outlineLevel="0" collapsed="false">
      <c r="A385" s="9" t="str">
        <f aca="false">IF('📋 Trade Log'!B383&lt;&gt;"",'📋 Trade Log'!A383,"")</f>
        <v/>
      </c>
      <c r="B385" s="10" t="str">
        <f aca="false">IF('📋 Trade Log'!B383&lt;&gt;"",'📋 Trade Log'!B383,"")</f>
        <v/>
      </c>
      <c r="C385" s="12" t="str">
        <f aca="false">IF('📋 Trade Log'!L383&lt;&gt;"",'📋 Trade Log'!L383,"")</f>
        <v/>
      </c>
      <c r="D385" s="12" t="str">
        <f aca="false">IF(A385&lt;&gt;"",SUM($C$6:C385),"")</f>
        <v/>
      </c>
      <c r="E385" s="12" t="str">
        <f aca="false">IF(A385&lt;&gt;"",B$3+D385,"")</f>
        <v/>
      </c>
      <c r="F385" s="12" t="str">
        <f aca="false">IF(A385&lt;&gt;"",MIN(0,E385-MAX($E$6:E385)),"")</f>
        <v/>
      </c>
      <c r="G385" s="36" t="str">
        <f aca="false">IF(A385&lt;&gt;"",IFERROR(F385/MAX($E$6:E385),0),"")</f>
        <v/>
      </c>
    </row>
    <row r="386" customFormat="false" ht="15" hidden="false" customHeight="false" outlineLevel="0" collapsed="false">
      <c r="A386" s="4" t="str">
        <f aca="false">IF('📋 Trade Log'!B384&lt;&gt;"",'📋 Trade Log'!A384,"")</f>
        <v/>
      </c>
      <c r="B386" s="5" t="str">
        <f aca="false">IF('📋 Trade Log'!B384&lt;&gt;"",'📋 Trade Log'!B384,"")</f>
        <v/>
      </c>
      <c r="C386" s="7" t="str">
        <f aca="false">IF('📋 Trade Log'!L384&lt;&gt;"",'📋 Trade Log'!L384,"")</f>
        <v/>
      </c>
      <c r="D386" s="7" t="str">
        <f aca="false">IF(A386&lt;&gt;"",SUM($C$6:C386),"")</f>
        <v/>
      </c>
      <c r="E386" s="7" t="str">
        <f aca="false">IF(A386&lt;&gt;"",B$3+D386,"")</f>
        <v/>
      </c>
      <c r="F386" s="7" t="str">
        <f aca="false">IF(A386&lt;&gt;"",MIN(0,E386-MAX($E$6:E386)),"")</f>
        <v/>
      </c>
      <c r="G386" s="35" t="str">
        <f aca="false">IF(A386&lt;&gt;"",IFERROR(F386/MAX($E$6:E386),0),"")</f>
        <v/>
      </c>
    </row>
    <row r="387" customFormat="false" ht="15" hidden="false" customHeight="false" outlineLevel="0" collapsed="false">
      <c r="A387" s="9" t="str">
        <f aca="false">IF('📋 Trade Log'!B385&lt;&gt;"",'📋 Trade Log'!A385,"")</f>
        <v/>
      </c>
      <c r="B387" s="10" t="str">
        <f aca="false">IF('📋 Trade Log'!B385&lt;&gt;"",'📋 Trade Log'!B385,"")</f>
        <v/>
      </c>
      <c r="C387" s="12" t="str">
        <f aca="false">IF('📋 Trade Log'!L385&lt;&gt;"",'📋 Trade Log'!L385,"")</f>
        <v/>
      </c>
      <c r="D387" s="12" t="str">
        <f aca="false">IF(A387&lt;&gt;"",SUM($C$6:C387),"")</f>
        <v/>
      </c>
      <c r="E387" s="12" t="str">
        <f aca="false">IF(A387&lt;&gt;"",B$3+D387,"")</f>
        <v/>
      </c>
      <c r="F387" s="12" t="str">
        <f aca="false">IF(A387&lt;&gt;"",MIN(0,E387-MAX($E$6:E387)),"")</f>
        <v/>
      </c>
      <c r="G387" s="36" t="str">
        <f aca="false">IF(A387&lt;&gt;"",IFERROR(F387/MAX($E$6:E387),0),"")</f>
        <v/>
      </c>
    </row>
    <row r="388" customFormat="false" ht="15" hidden="false" customHeight="false" outlineLevel="0" collapsed="false">
      <c r="A388" s="4" t="str">
        <f aca="false">IF('📋 Trade Log'!B386&lt;&gt;"",'📋 Trade Log'!A386,"")</f>
        <v/>
      </c>
      <c r="B388" s="5" t="str">
        <f aca="false">IF('📋 Trade Log'!B386&lt;&gt;"",'📋 Trade Log'!B386,"")</f>
        <v/>
      </c>
      <c r="C388" s="7" t="str">
        <f aca="false">IF('📋 Trade Log'!L386&lt;&gt;"",'📋 Trade Log'!L386,"")</f>
        <v/>
      </c>
      <c r="D388" s="7" t="str">
        <f aca="false">IF(A388&lt;&gt;"",SUM($C$6:C388),"")</f>
        <v/>
      </c>
      <c r="E388" s="7" t="str">
        <f aca="false">IF(A388&lt;&gt;"",B$3+D388,"")</f>
        <v/>
      </c>
      <c r="F388" s="7" t="str">
        <f aca="false">IF(A388&lt;&gt;"",MIN(0,E388-MAX($E$6:E388)),"")</f>
        <v/>
      </c>
      <c r="G388" s="35" t="str">
        <f aca="false">IF(A388&lt;&gt;"",IFERROR(F388/MAX($E$6:E388),0),"")</f>
        <v/>
      </c>
    </row>
    <row r="389" customFormat="false" ht="15" hidden="false" customHeight="false" outlineLevel="0" collapsed="false">
      <c r="A389" s="9" t="str">
        <f aca="false">IF('📋 Trade Log'!B387&lt;&gt;"",'📋 Trade Log'!A387,"")</f>
        <v/>
      </c>
      <c r="B389" s="10" t="str">
        <f aca="false">IF('📋 Trade Log'!B387&lt;&gt;"",'📋 Trade Log'!B387,"")</f>
        <v/>
      </c>
      <c r="C389" s="12" t="str">
        <f aca="false">IF('📋 Trade Log'!L387&lt;&gt;"",'📋 Trade Log'!L387,"")</f>
        <v/>
      </c>
      <c r="D389" s="12" t="str">
        <f aca="false">IF(A389&lt;&gt;"",SUM($C$6:C389),"")</f>
        <v/>
      </c>
      <c r="E389" s="12" t="str">
        <f aca="false">IF(A389&lt;&gt;"",B$3+D389,"")</f>
        <v/>
      </c>
      <c r="F389" s="12" t="str">
        <f aca="false">IF(A389&lt;&gt;"",MIN(0,E389-MAX($E$6:E389)),"")</f>
        <v/>
      </c>
      <c r="G389" s="36" t="str">
        <f aca="false">IF(A389&lt;&gt;"",IFERROR(F389/MAX($E$6:E389),0),"")</f>
        <v/>
      </c>
    </row>
    <row r="390" customFormat="false" ht="15" hidden="false" customHeight="false" outlineLevel="0" collapsed="false">
      <c r="A390" s="4" t="str">
        <f aca="false">IF('📋 Trade Log'!B388&lt;&gt;"",'📋 Trade Log'!A388,"")</f>
        <v/>
      </c>
      <c r="B390" s="5" t="str">
        <f aca="false">IF('📋 Trade Log'!B388&lt;&gt;"",'📋 Trade Log'!B388,"")</f>
        <v/>
      </c>
      <c r="C390" s="7" t="str">
        <f aca="false">IF('📋 Trade Log'!L388&lt;&gt;"",'📋 Trade Log'!L388,"")</f>
        <v/>
      </c>
      <c r="D390" s="7" t="str">
        <f aca="false">IF(A390&lt;&gt;"",SUM($C$6:C390),"")</f>
        <v/>
      </c>
      <c r="E390" s="7" t="str">
        <f aca="false">IF(A390&lt;&gt;"",B$3+D390,"")</f>
        <v/>
      </c>
      <c r="F390" s="7" t="str">
        <f aca="false">IF(A390&lt;&gt;"",MIN(0,E390-MAX($E$6:E390)),"")</f>
        <v/>
      </c>
      <c r="G390" s="35" t="str">
        <f aca="false">IF(A390&lt;&gt;"",IFERROR(F390/MAX($E$6:E390),0),"")</f>
        <v/>
      </c>
    </row>
    <row r="391" customFormat="false" ht="15" hidden="false" customHeight="false" outlineLevel="0" collapsed="false">
      <c r="A391" s="9" t="str">
        <f aca="false">IF('📋 Trade Log'!B389&lt;&gt;"",'📋 Trade Log'!A389,"")</f>
        <v/>
      </c>
      <c r="B391" s="10" t="str">
        <f aca="false">IF('📋 Trade Log'!B389&lt;&gt;"",'📋 Trade Log'!B389,"")</f>
        <v/>
      </c>
      <c r="C391" s="12" t="str">
        <f aca="false">IF('📋 Trade Log'!L389&lt;&gt;"",'📋 Trade Log'!L389,"")</f>
        <v/>
      </c>
      <c r="D391" s="12" t="str">
        <f aca="false">IF(A391&lt;&gt;"",SUM($C$6:C391),"")</f>
        <v/>
      </c>
      <c r="E391" s="12" t="str">
        <f aca="false">IF(A391&lt;&gt;"",B$3+D391,"")</f>
        <v/>
      </c>
      <c r="F391" s="12" t="str">
        <f aca="false">IF(A391&lt;&gt;"",MIN(0,E391-MAX($E$6:E391)),"")</f>
        <v/>
      </c>
      <c r="G391" s="36" t="str">
        <f aca="false">IF(A391&lt;&gt;"",IFERROR(F391/MAX($E$6:E391),0),"")</f>
        <v/>
      </c>
    </row>
    <row r="392" customFormat="false" ht="15" hidden="false" customHeight="false" outlineLevel="0" collapsed="false">
      <c r="A392" s="4" t="str">
        <f aca="false">IF('📋 Trade Log'!B390&lt;&gt;"",'📋 Trade Log'!A390,"")</f>
        <v/>
      </c>
      <c r="B392" s="5" t="str">
        <f aca="false">IF('📋 Trade Log'!B390&lt;&gt;"",'📋 Trade Log'!B390,"")</f>
        <v/>
      </c>
      <c r="C392" s="7" t="str">
        <f aca="false">IF('📋 Trade Log'!L390&lt;&gt;"",'📋 Trade Log'!L390,"")</f>
        <v/>
      </c>
      <c r="D392" s="7" t="str">
        <f aca="false">IF(A392&lt;&gt;"",SUM($C$6:C392),"")</f>
        <v/>
      </c>
      <c r="E392" s="7" t="str">
        <f aca="false">IF(A392&lt;&gt;"",B$3+D392,"")</f>
        <v/>
      </c>
      <c r="F392" s="7" t="str">
        <f aca="false">IF(A392&lt;&gt;"",MIN(0,E392-MAX($E$6:E392)),"")</f>
        <v/>
      </c>
      <c r="G392" s="35" t="str">
        <f aca="false">IF(A392&lt;&gt;"",IFERROR(F392/MAX($E$6:E392),0),"")</f>
        <v/>
      </c>
    </row>
    <row r="393" customFormat="false" ht="15" hidden="false" customHeight="false" outlineLevel="0" collapsed="false">
      <c r="A393" s="9" t="str">
        <f aca="false">IF('📋 Trade Log'!B391&lt;&gt;"",'📋 Trade Log'!A391,"")</f>
        <v/>
      </c>
      <c r="B393" s="10" t="str">
        <f aca="false">IF('📋 Trade Log'!B391&lt;&gt;"",'📋 Trade Log'!B391,"")</f>
        <v/>
      </c>
      <c r="C393" s="12" t="str">
        <f aca="false">IF('📋 Trade Log'!L391&lt;&gt;"",'📋 Trade Log'!L391,"")</f>
        <v/>
      </c>
      <c r="D393" s="12" t="str">
        <f aca="false">IF(A393&lt;&gt;"",SUM($C$6:C393),"")</f>
        <v/>
      </c>
      <c r="E393" s="12" t="str">
        <f aca="false">IF(A393&lt;&gt;"",B$3+D393,"")</f>
        <v/>
      </c>
      <c r="F393" s="12" t="str">
        <f aca="false">IF(A393&lt;&gt;"",MIN(0,E393-MAX($E$6:E393)),"")</f>
        <v/>
      </c>
      <c r="G393" s="36" t="str">
        <f aca="false">IF(A393&lt;&gt;"",IFERROR(F393/MAX($E$6:E393),0),"")</f>
        <v/>
      </c>
    </row>
    <row r="394" customFormat="false" ht="15" hidden="false" customHeight="false" outlineLevel="0" collapsed="false">
      <c r="A394" s="4" t="str">
        <f aca="false">IF('📋 Trade Log'!B392&lt;&gt;"",'📋 Trade Log'!A392,"")</f>
        <v/>
      </c>
      <c r="B394" s="5" t="str">
        <f aca="false">IF('📋 Trade Log'!B392&lt;&gt;"",'📋 Trade Log'!B392,"")</f>
        <v/>
      </c>
      <c r="C394" s="7" t="str">
        <f aca="false">IF('📋 Trade Log'!L392&lt;&gt;"",'📋 Trade Log'!L392,"")</f>
        <v/>
      </c>
      <c r="D394" s="7" t="str">
        <f aca="false">IF(A394&lt;&gt;"",SUM($C$6:C394),"")</f>
        <v/>
      </c>
      <c r="E394" s="7" t="str">
        <f aca="false">IF(A394&lt;&gt;"",B$3+D394,"")</f>
        <v/>
      </c>
      <c r="F394" s="7" t="str">
        <f aca="false">IF(A394&lt;&gt;"",MIN(0,E394-MAX($E$6:E394)),"")</f>
        <v/>
      </c>
      <c r="G394" s="35" t="str">
        <f aca="false">IF(A394&lt;&gt;"",IFERROR(F394/MAX($E$6:E394),0),"")</f>
        <v/>
      </c>
    </row>
    <row r="395" customFormat="false" ht="15" hidden="false" customHeight="false" outlineLevel="0" collapsed="false">
      <c r="A395" s="9" t="str">
        <f aca="false">IF('📋 Trade Log'!B393&lt;&gt;"",'📋 Trade Log'!A393,"")</f>
        <v/>
      </c>
      <c r="B395" s="10" t="str">
        <f aca="false">IF('📋 Trade Log'!B393&lt;&gt;"",'📋 Trade Log'!B393,"")</f>
        <v/>
      </c>
      <c r="C395" s="12" t="str">
        <f aca="false">IF('📋 Trade Log'!L393&lt;&gt;"",'📋 Trade Log'!L393,"")</f>
        <v/>
      </c>
      <c r="D395" s="12" t="str">
        <f aca="false">IF(A395&lt;&gt;"",SUM($C$6:C395),"")</f>
        <v/>
      </c>
      <c r="E395" s="12" t="str">
        <f aca="false">IF(A395&lt;&gt;"",B$3+D395,"")</f>
        <v/>
      </c>
      <c r="F395" s="12" t="str">
        <f aca="false">IF(A395&lt;&gt;"",MIN(0,E395-MAX($E$6:E395)),"")</f>
        <v/>
      </c>
      <c r="G395" s="36" t="str">
        <f aca="false">IF(A395&lt;&gt;"",IFERROR(F395/MAX($E$6:E395),0),"")</f>
        <v/>
      </c>
    </row>
    <row r="396" customFormat="false" ht="15" hidden="false" customHeight="false" outlineLevel="0" collapsed="false">
      <c r="A396" s="4" t="str">
        <f aca="false">IF('📋 Trade Log'!B394&lt;&gt;"",'📋 Trade Log'!A394,"")</f>
        <v/>
      </c>
      <c r="B396" s="5" t="str">
        <f aca="false">IF('📋 Trade Log'!B394&lt;&gt;"",'📋 Trade Log'!B394,"")</f>
        <v/>
      </c>
      <c r="C396" s="7" t="str">
        <f aca="false">IF('📋 Trade Log'!L394&lt;&gt;"",'📋 Trade Log'!L394,"")</f>
        <v/>
      </c>
      <c r="D396" s="7" t="str">
        <f aca="false">IF(A396&lt;&gt;"",SUM($C$6:C396),"")</f>
        <v/>
      </c>
      <c r="E396" s="7" t="str">
        <f aca="false">IF(A396&lt;&gt;"",B$3+D396,"")</f>
        <v/>
      </c>
      <c r="F396" s="7" t="str">
        <f aca="false">IF(A396&lt;&gt;"",MIN(0,E396-MAX($E$6:E396)),"")</f>
        <v/>
      </c>
      <c r="G396" s="35" t="str">
        <f aca="false">IF(A396&lt;&gt;"",IFERROR(F396/MAX($E$6:E396),0),"")</f>
        <v/>
      </c>
    </row>
    <row r="397" customFormat="false" ht="15" hidden="false" customHeight="false" outlineLevel="0" collapsed="false">
      <c r="A397" s="9" t="str">
        <f aca="false">IF('📋 Trade Log'!B395&lt;&gt;"",'📋 Trade Log'!A395,"")</f>
        <v/>
      </c>
      <c r="B397" s="10" t="str">
        <f aca="false">IF('📋 Trade Log'!B395&lt;&gt;"",'📋 Trade Log'!B395,"")</f>
        <v/>
      </c>
      <c r="C397" s="12" t="str">
        <f aca="false">IF('📋 Trade Log'!L395&lt;&gt;"",'📋 Trade Log'!L395,"")</f>
        <v/>
      </c>
      <c r="D397" s="12" t="str">
        <f aca="false">IF(A397&lt;&gt;"",SUM($C$6:C397),"")</f>
        <v/>
      </c>
      <c r="E397" s="12" t="str">
        <f aca="false">IF(A397&lt;&gt;"",B$3+D397,"")</f>
        <v/>
      </c>
      <c r="F397" s="12" t="str">
        <f aca="false">IF(A397&lt;&gt;"",MIN(0,E397-MAX($E$6:E397)),"")</f>
        <v/>
      </c>
      <c r="G397" s="36" t="str">
        <f aca="false">IF(A397&lt;&gt;"",IFERROR(F397/MAX($E$6:E397),0),"")</f>
        <v/>
      </c>
    </row>
    <row r="398" customFormat="false" ht="15" hidden="false" customHeight="false" outlineLevel="0" collapsed="false">
      <c r="A398" s="4" t="str">
        <f aca="false">IF('📋 Trade Log'!B396&lt;&gt;"",'📋 Trade Log'!A396,"")</f>
        <v/>
      </c>
      <c r="B398" s="5" t="str">
        <f aca="false">IF('📋 Trade Log'!B396&lt;&gt;"",'📋 Trade Log'!B396,"")</f>
        <v/>
      </c>
      <c r="C398" s="7" t="str">
        <f aca="false">IF('📋 Trade Log'!L396&lt;&gt;"",'📋 Trade Log'!L396,"")</f>
        <v/>
      </c>
      <c r="D398" s="7" t="str">
        <f aca="false">IF(A398&lt;&gt;"",SUM($C$6:C398),"")</f>
        <v/>
      </c>
      <c r="E398" s="7" t="str">
        <f aca="false">IF(A398&lt;&gt;"",B$3+D398,"")</f>
        <v/>
      </c>
      <c r="F398" s="7" t="str">
        <f aca="false">IF(A398&lt;&gt;"",MIN(0,E398-MAX($E$6:E398)),"")</f>
        <v/>
      </c>
      <c r="G398" s="35" t="str">
        <f aca="false">IF(A398&lt;&gt;"",IFERROR(F398/MAX($E$6:E398),0),"")</f>
        <v/>
      </c>
    </row>
    <row r="399" customFormat="false" ht="15" hidden="false" customHeight="false" outlineLevel="0" collapsed="false">
      <c r="A399" s="9" t="str">
        <f aca="false">IF('📋 Trade Log'!B397&lt;&gt;"",'📋 Trade Log'!A397,"")</f>
        <v/>
      </c>
      <c r="B399" s="10" t="str">
        <f aca="false">IF('📋 Trade Log'!B397&lt;&gt;"",'📋 Trade Log'!B397,"")</f>
        <v/>
      </c>
      <c r="C399" s="12" t="str">
        <f aca="false">IF('📋 Trade Log'!L397&lt;&gt;"",'📋 Trade Log'!L397,"")</f>
        <v/>
      </c>
      <c r="D399" s="12" t="str">
        <f aca="false">IF(A399&lt;&gt;"",SUM($C$6:C399),"")</f>
        <v/>
      </c>
      <c r="E399" s="12" t="str">
        <f aca="false">IF(A399&lt;&gt;"",B$3+D399,"")</f>
        <v/>
      </c>
      <c r="F399" s="12" t="str">
        <f aca="false">IF(A399&lt;&gt;"",MIN(0,E399-MAX($E$6:E399)),"")</f>
        <v/>
      </c>
      <c r="G399" s="36" t="str">
        <f aca="false">IF(A399&lt;&gt;"",IFERROR(F399/MAX($E$6:E399),0),"")</f>
        <v/>
      </c>
    </row>
    <row r="400" customFormat="false" ht="15" hidden="false" customHeight="false" outlineLevel="0" collapsed="false">
      <c r="A400" s="4" t="str">
        <f aca="false">IF('📋 Trade Log'!B398&lt;&gt;"",'📋 Trade Log'!A398,"")</f>
        <v/>
      </c>
      <c r="B400" s="5" t="str">
        <f aca="false">IF('📋 Trade Log'!B398&lt;&gt;"",'📋 Trade Log'!B398,"")</f>
        <v/>
      </c>
      <c r="C400" s="7" t="str">
        <f aca="false">IF('📋 Trade Log'!L398&lt;&gt;"",'📋 Trade Log'!L398,"")</f>
        <v/>
      </c>
      <c r="D400" s="7" t="str">
        <f aca="false">IF(A400&lt;&gt;"",SUM($C$6:C400),"")</f>
        <v/>
      </c>
      <c r="E400" s="7" t="str">
        <f aca="false">IF(A400&lt;&gt;"",B$3+D400,"")</f>
        <v/>
      </c>
      <c r="F400" s="7" t="str">
        <f aca="false">IF(A400&lt;&gt;"",MIN(0,E400-MAX($E$6:E400)),"")</f>
        <v/>
      </c>
      <c r="G400" s="35" t="str">
        <f aca="false">IF(A400&lt;&gt;"",IFERROR(F400/MAX($E$6:E400),0),"")</f>
        <v/>
      </c>
    </row>
    <row r="401" customFormat="false" ht="15" hidden="false" customHeight="false" outlineLevel="0" collapsed="false">
      <c r="A401" s="9" t="str">
        <f aca="false">IF('📋 Trade Log'!B399&lt;&gt;"",'📋 Trade Log'!A399,"")</f>
        <v/>
      </c>
      <c r="B401" s="10" t="str">
        <f aca="false">IF('📋 Trade Log'!B399&lt;&gt;"",'📋 Trade Log'!B399,"")</f>
        <v/>
      </c>
      <c r="C401" s="12" t="str">
        <f aca="false">IF('📋 Trade Log'!L399&lt;&gt;"",'📋 Trade Log'!L399,"")</f>
        <v/>
      </c>
      <c r="D401" s="12" t="str">
        <f aca="false">IF(A401&lt;&gt;"",SUM($C$6:C401),"")</f>
        <v/>
      </c>
      <c r="E401" s="12" t="str">
        <f aca="false">IF(A401&lt;&gt;"",B$3+D401,"")</f>
        <v/>
      </c>
      <c r="F401" s="12" t="str">
        <f aca="false">IF(A401&lt;&gt;"",MIN(0,E401-MAX($E$6:E401)),"")</f>
        <v/>
      </c>
      <c r="G401" s="36" t="str">
        <f aca="false">IF(A401&lt;&gt;"",IFERROR(F401/MAX($E$6:E401),0),"")</f>
        <v/>
      </c>
    </row>
    <row r="402" customFormat="false" ht="15" hidden="false" customHeight="false" outlineLevel="0" collapsed="false">
      <c r="A402" s="4" t="str">
        <f aca="false">IF('📋 Trade Log'!B400&lt;&gt;"",'📋 Trade Log'!A400,"")</f>
        <v/>
      </c>
      <c r="B402" s="5" t="str">
        <f aca="false">IF('📋 Trade Log'!B400&lt;&gt;"",'📋 Trade Log'!B400,"")</f>
        <v/>
      </c>
      <c r="C402" s="7" t="str">
        <f aca="false">IF('📋 Trade Log'!L400&lt;&gt;"",'📋 Trade Log'!L400,"")</f>
        <v/>
      </c>
      <c r="D402" s="7" t="str">
        <f aca="false">IF(A402&lt;&gt;"",SUM($C$6:C402),"")</f>
        <v/>
      </c>
      <c r="E402" s="7" t="str">
        <f aca="false">IF(A402&lt;&gt;"",B$3+D402,"")</f>
        <v/>
      </c>
      <c r="F402" s="7" t="str">
        <f aca="false">IF(A402&lt;&gt;"",MIN(0,E402-MAX($E$6:E402)),"")</f>
        <v/>
      </c>
      <c r="G402" s="35" t="str">
        <f aca="false">IF(A402&lt;&gt;"",IFERROR(F402/MAX($E$6:E402),0),"")</f>
        <v/>
      </c>
    </row>
    <row r="403" customFormat="false" ht="15" hidden="false" customHeight="false" outlineLevel="0" collapsed="false">
      <c r="A403" s="9" t="str">
        <f aca="false">IF('📋 Trade Log'!B401&lt;&gt;"",'📋 Trade Log'!A401,"")</f>
        <v/>
      </c>
      <c r="B403" s="10" t="str">
        <f aca="false">IF('📋 Trade Log'!B401&lt;&gt;"",'📋 Trade Log'!B401,"")</f>
        <v/>
      </c>
      <c r="C403" s="12" t="str">
        <f aca="false">IF('📋 Trade Log'!L401&lt;&gt;"",'📋 Trade Log'!L401,"")</f>
        <v/>
      </c>
      <c r="D403" s="12" t="str">
        <f aca="false">IF(A403&lt;&gt;"",SUM($C$6:C403),"")</f>
        <v/>
      </c>
      <c r="E403" s="12" t="str">
        <f aca="false">IF(A403&lt;&gt;"",B$3+D403,"")</f>
        <v/>
      </c>
      <c r="F403" s="12" t="str">
        <f aca="false">IF(A403&lt;&gt;"",MIN(0,E403-MAX($E$6:E403)),"")</f>
        <v/>
      </c>
      <c r="G403" s="36" t="str">
        <f aca="false">IF(A403&lt;&gt;"",IFERROR(F403/MAX($E$6:E403),0),"")</f>
        <v/>
      </c>
    </row>
    <row r="404" customFormat="false" ht="15" hidden="false" customHeight="false" outlineLevel="0" collapsed="false">
      <c r="A404" s="4" t="str">
        <f aca="false">IF('📋 Trade Log'!B402&lt;&gt;"",'📋 Trade Log'!A402,"")</f>
        <v/>
      </c>
      <c r="B404" s="5" t="str">
        <f aca="false">IF('📋 Trade Log'!B402&lt;&gt;"",'📋 Trade Log'!B402,"")</f>
        <v/>
      </c>
      <c r="C404" s="7" t="str">
        <f aca="false">IF('📋 Trade Log'!L402&lt;&gt;"",'📋 Trade Log'!L402,"")</f>
        <v/>
      </c>
      <c r="D404" s="7" t="str">
        <f aca="false">IF(A404&lt;&gt;"",SUM($C$6:C404),"")</f>
        <v/>
      </c>
      <c r="E404" s="7" t="str">
        <f aca="false">IF(A404&lt;&gt;"",B$3+D404,"")</f>
        <v/>
      </c>
      <c r="F404" s="7" t="str">
        <f aca="false">IF(A404&lt;&gt;"",MIN(0,E404-MAX($E$6:E404)),"")</f>
        <v/>
      </c>
      <c r="G404" s="35" t="str">
        <f aca="false">IF(A404&lt;&gt;"",IFERROR(F404/MAX($E$6:E404),0),"")</f>
        <v/>
      </c>
    </row>
    <row r="405" customFormat="false" ht="15" hidden="false" customHeight="false" outlineLevel="0" collapsed="false">
      <c r="A405" s="9" t="str">
        <f aca="false">IF('📋 Trade Log'!B403&lt;&gt;"",'📋 Trade Log'!A403,"")</f>
        <v/>
      </c>
      <c r="B405" s="10" t="str">
        <f aca="false">IF('📋 Trade Log'!B403&lt;&gt;"",'📋 Trade Log'!B403,"")</f>
        <v/>
      </c>
      <c r="C405" s="12" t="str">
        <f aca="false">IF('📋 Trade Log'!L403&lt;&gt;"",'📋 Trade Log'!L403,"")</f>
        <v/>
      </c>
      <c r="D405" s="12" t="str">
        <f aca="false">IF(A405&lt;&gt;"",SUM($C$6:C405),"")</f>
        <v/>
      </c>
      <c r="E405" s="12" t="str">
        <f aca="false">IF(A405&lt;&gt;"",B$3+D405,"")</f>
        <v/>
      </c>
      <c r="F405" s="12" t="str">
        <f aca="false">IF(A405&lt;&gt;"",MIN(0,E405-MAX($E$6:E405)),"")</f>
        <v/>
      </c>
      <c r="G405" s="36" t="str">
        <f aca="false">IF(A405&lt;&gt;"",IFERROR(F405/MAX($E$6:E405),0),"")</f>
        <v/>
      </c>
    </row>
    <row r="406" customFormat="false" ht="15" hidden="false" customHeight="false" outlineLevel="0" collapsed="false">
      <c r="A406" s="4" t="str">
        <f aca="false">IF('📋 Trade Log'!B404&lt;&gt;"",'📋 Trade Log'!A404,"")</f>
        <v/>
      </c>
      <c r="B406" s="5" t="str">
        <f aca="false">IF('📋 Trade Log'!B404&lt;&gt;"",'📋 Trade Log'!B404,"")</f>
        <v/>
      </c>
      <c r="C406" s="7" t="str">
        <f aca="false">IF('📋 Trade Log'!L404&lt;&gt;"",'📋 Trade Log'!L404,"")</f>
        <v/>
      </c>
      <c r="D406" s="7" t="str">
        <f aca="false">IF(A406&lt;&gt;"",SUM($C$6:C406),"")</f>
        <v/>
      </c>
      <c r="E406" s="7" t="str">
        <f aca="false">IF(A406&lt;&gt;"",B$3+D406,"")</f>
        <v/>
      </c>
      <c r="F406" s="7" t="str">
        <f aca="false">IF(A406&lt;&gt;"",MIN(0,E406-MAX($E$6:E406)),"")</f>
        <v/>
      </c>
      <c r="G406" s="35" t="str">
        <f aca="false">IF(A406&lt;&gt;"",IFERROR(F406/MAX($E$6:E406),0),"")</f>
        <v/>
      </c>
    </row>
    <row r="407" customFormat="false" ht="15" hidden="false" customHeight="false" outlineLevel="0" collapsed="false">
      <c r="A407" s="9" t="str">
        <f aca="false">IF('📋 Trade Log'!B405&lt;&gt;"",'📋 Trade Log'!A405,"")</f>
        <v/>
      </c>
      <c r="B407" s="10" t="str">
        <f aca="false">IF('📋 Trade Log'!B405&lt;&gt;"",'📋 Trade Log'!B405,"")</f>
        <v/>
      </c>
      <c r="C407" s="12" t="str">
        <f aca="false">IF('📋 Trade Log'!L405&lt;&gt;"",'📋 Trade Log'!L405,"")</f>
        <v/>
      </c>
      <c r="D407" s="12" t="str">
        <f aca="false">IF(A407&lt;&gt;"",SUM($C$6:C407),"")</f>
        <v/>
      </c>
      <c r="E407" s="12" t="str">
        <f aca="false">IF(A407&lt;&gt;"",B$3+D407,"")</f>
        <v/>
      </c>
      <c r="F407" s="12" t="str">
        <f aca="false">IF(A407&lt;&gt;"",MIN(0,E407-MAX($E$6:E407)),"")</f>
        <v/>
      </c>
      <c r="G407" s="36" t="str">
        <f aca="false">IF(A407&lt;&gt;"",IFERROR(F407/MAX($E$6:E407),0),"")</f>
        <v/>
      </c>
    </row>
    <row r="408" customFormat="false" ht="15" hidden="false" customHeight="false" outlineLevel="0" collapsed="false">
      <c r="A408" s="4" t="str">
        <f aca="false">IF('📋 Trade Log'!B406&lt;&gt;"",'📋 Trade Log'!A406,"")</f>
        <v/>
      </c>
      <c r="B408" s="5" t="str">
        <f aca="false">IF('📋 Trade Log'!B406&lt;&gt;"",'📋 Trade Log'!B406,"")</f>
        <v/>
      </c>
      <c r="C408" s="7" t="str">
        <f aca="false">IF('📋 Trade Log'!L406&lt;&gt;"",'📋 Trade Log'!L406,"")</f>
        <v/>
      </c>
      <c r="D408" s="7" t="str">
        <f aca="false">IF(A408&lt;&gt;"",SUM($C$6:C408),"")</f>
        <v/>
      </c>
      <c r="E408" s="7" t="str">
        <f aca="false">IF(A408&lt;&gt;"",B$3+D408,"")</f>
        <v/>
      </c>
      <c r="F408" s="7" t="str">
        <f aca="false">IF(A408&lt;&gt;"",MIN(0,E408-MAX($E$6:E408)),"")</f>
        <v/>
      </c>
      <c r="G408" s="35" t="str">
        <f aca="false">IF(A408&lt;&gt;"",IFERROR(F408/MAX($E$6:E408),0),"")</f>
        <v/>
      </c>
    </row>
    <row r="409" customFormat="false" ht="15" hidden="false" customHeight="false" outlineLevel="0" collapsed="false">
      <c r="A409" s="9" t="str">
        <f aca="false">IF('📋 Trade Log'!B407&lt;&gt;"",'📋 Trade Log'!A407,"")</f>
        <v/>
      </c>
      <c r="B409" s="10" t="str">
        <f aca="false">IF('📋 Trade Log'!B407&lt;&gt;"",'📋 Trade Log'!B407,"")</f>
        <v/>
      </c>
      <c r="C409" s="12" t="str">
        <f aca="false">IF('📋 Trade Log'!L407&lt;&gt;"",'📋 Trade Log'!L407,"")</f>
        <v/>
      </c>
      <c r="D409" s="12" t="str">
        <f aca="false">IF(A409&lt;&gt;"",SUM($C$6:C409),"")</f>
        <v/>
      </c>
      <c r="E409" s="12" t="str">
        <f aca="false">IF(A409&lt;&gt;"",B$3+D409,"")</f>
        <v/>
      </c>
      <c r="F409" s="12" t="str">
        <f aca="false">IF(A409&lt;&gt;"",MIN(0,E409-MAX($E$6:E409)),"")</f>
        <v/>
      </c>
      <c r="G409" s="36" t="str">
        <f aca="false">IF(A409&lt;&gt;"",IFERROR(F409/MAX($E$6:E409),0),"")</f>
        <v/>
      </c>
    </row>
    <row r="410" customFormat="false" ht="15" hidden="false" customHeight="false" outlineLevel="0" collapsed="false">
      <c r="A410" s="4" t="str">
        <f aca="false">IF('📋 Trade Log'!B408&lt;&gt;"",'📋 Trade Log'!A408,"")</f>
        <v/>
      </c>
      <c r="B410" s="5" t="str">
        <f aca="false">IF('📋 Trade Log'!B408&lt;&gt;"",'📋 Trade Log'!B408,"")</f>
        <v/>
      </c>
      <c r="C410" s="7" t="str">
        <f aca="false">IF('📋 Trade Log'!L408&lt;&gt;"",'📋 Trade Log'!L408,"")</f>
        <v/>
      </c>
      <c r="D410" s="7" t="str">
        <f aca="false">IF(A410&lt;&gt;"",SUM($C$6:C410),"")</f>
        <v/>
      </c>
      <c r="E410" s="7" t="str">
        <f aca="false">IF(A410&lt;&gt;"",B$3+D410,"")</f>
        <v/>
      </c>
      <c r="F410" s="7" t="str">
        <f aca="false">IF(A410&lt;&gt;"",MIN(0,E410-MAX($E$6:E410)),"")</f>
        <v/>
      </c>
      <c r="G410" s="35" t="str">
        <f aca="false">IF(A410&lt;&gt;"",IFERROR(F410/MAX($E$6:E410),0),"")</f>
        <v/>
      </c>
    </row>
    <row r="411" customFormat="false" ht="15" hidden="false" customHeight="false" outlineLevel="0" collapsed="false">
      <c r="A411" s="9" t="str">
        <f aca="false">IF('📋 Trade Log'!B409&lt;&gt;"",'📋 Trade Log'!A409,"")</f>
        <v/>
      </c>
      <c r="B411" s="10" t="str">
        <f aca="false">IF('📋 Trade Log'!B409&lt;&gt;"",'📋 Trade Log'!B409,"")</f>
        <v/>
      </c>
      <c r="C411" s="12" t="str">
        <f aca="false">IF('📋 Trade Log'!L409&lt;&gt;"",'📋 Trade Log'!L409,"")</f>
        <v/>
      </c>
      <c r="D411" s="12" t="str">
        <f aca="false">IF(A411&lt;&gt;"",SUM($C$6:C411),"")</f>
        <v/>
      </c>
      <c r="E411" s="12" t="str">
        <f aca="false">IF(A411&lt;&gt;"",B$3+D411,"")</f>
        <v/>
      </c>
      <c r="F411" s="12" t="str">
        <f aca="false">IF(A411&lt;&gt;"",MIN(0,E411-MAX($E$6:E411)),"")</f>
        <v/>
      </c>
      <c r="G411" s="36" t="str">
        <f aca="false">IF(A411&lt;&gt;"",IFERROR(F411/MAX($E$6:E411),0),"")</f>
        <v/>
      </c>
    </row>
    <row r="412" customFormat="false" ht="15" hidden="false" customHeight="false" outlineLevel="0" collapsed="false">
      <c r="A412" s="4" t="str">
        <f aca="false">IF('📋 Trade Log'!B410&lt;&gt;"",'📋 Trade Log'!A410,"")</f>
        <v/>
      </c>
      <c r="B412" s="5" t="str">
        <f aca="false">IF('📋 Trade Log'!B410&lt;&gt;"",'📋 Trade Log'!B410,"")</f>
        <v/>
      </c>
      <c r="C412" s="7" t="str">
        <f aca="false">IF('📋 Trade Log'!L410&lt;&gt;"",'📋 Trade Log'!L410,"")</f>
        <v/>
      </c>
      <c r="D412" s="7" t="str">
        <f aca="false">IF(A412&lt;&gt;"",SUM($C$6:C412),"")</f>
        <v/>
      </c>
      <c r="E412" s="7" t="str">
        <f aca="false">IF(A412&lt;&gt;"",B$3+D412,"")</f>
        <v/>
      </c>
      <c r="F412" s="7" t="str">
        <f aca="false">IF(A412&lt;&gt;"",MIN(0,E412-MAX($E$6:E412)),"")</f>
        <v/>
      </c>
      <c r="G412" s="35" t="str">
        <f aca="false">IF(A412&lt;&gt;"",IFERROR(F412/MAX($E$6:E412),0),"")</f>
        <v/>
      </c>
    </row>
    <row r="413" customFormat="false" ht="15" hidden="false" customHeight="false" outlineLevel="0" collapsed="false">
      <c r="A413" s="9" t="str">
        <f aca="false">IF('📋 Trade Log'!B411&lt;&gt;"",'📋 Trade Log'!A411,"")</f>
        <v/>
      </c>
      <c r="B413" s="10" t="str">
        <f aca="false">IF('📋 Trade Log'!B411&lt;&gt;"",'📋 Trade Log'!B411,"")</f>
        <v/>
      </c>
      <c r="C413" s="12" t="str">
        <f aca="false">IF('📋 Trade Log'!L411&lt;&gt;"",'📋 Trade Log'!L411,"")</f>
        <v/>
      </c>
      <c r="D413" s="12" t="str">
        <f aca="false">IF(A413&lt;&gt;"",SUM($C$6:C413),"")</f>
        <v/>
      </c>
      <c r="E413" s="12" t="str">
        <f aca="false">IF(A413&lt;&gt;"",B$3+D413,"")</f>
        <v/>
      </c>
      <c r="F413" s="12" t="str">
        <f aca="false">IF(A413&lt;&gt;"",MIN(0,E413-MAX($E$6:E413)),"")</f>
        <v/>
      </c>
      <c r="G413" s="36" t="str">
        <f aca="false">IF(A413&lt;&gt;"",IFERROR(F413/MAX($E$6:E413),0),"")</f>
        <v/>
      </c>
    </row>
    <row r="414" customFormat="false" ht="15" hidden="false" customHeight="false" outlineLevel="0" collapsed="false">
      <c r="A414" s="4" t="str">
        <f aca="false">IF('📋 Trade Log'!B412&lt;&gt;"",'📋 Trade Log'!A412,"")</f>
        <v/>
      </c>
      <c r="B414" s="5" t="str">
        <f aca="false">IF('📋 Trade Log'!B412&lt;&gt;"",'📋 Trade Log'!B412,"")</f>
        <v/>
      </c>
      <c r="C414" s="7" t="str">
        <f aca="false">IF('📋 Trade Log'!L412&lt;&gt;"",'📋 Trade Log'!L412,"")</f>
        <v/>
      </c>
      <c r="D414" s="7" t="str">
        <f aca="false">IF(A414&lt;&gt;"",SUM($C$6:C414),"")</f>
        <v/>
      </c>
      <c r="E414" s="7" t="str">
        <f aca="false">IF(A414&lt;&gt;"",B$3+D414,"")</f>
        <v/>
      </c>
      <c r="F414" s="7" t="str">
        <f aca="false">IF(A414&lt;&gt;"",MIN(0,E414-MAX($E$6:E414)),"")</f>
        <v/>
      </c>
      <c r="G414" s="35" t="str">
        <f aca="false">IF(A414&lt;&gt;"",IFERROR(F414/MAX($E$6:E414),0),"")</f>
        <v/>
      </c>
    </row>
    <row r="415" customFormat="false" ht="15" hidden="false" customHeight="false" outlineLevel="0" collapsed="false">
      <c r="A415" s="9" t="str">
        <f aca="false">IF('📋 Trade Log'!B413&lt;&gt;"",'📋 Trade Log'!A413,"")</f>
        <v/>
      </c>
      <c r="B415" s="10" t="str">
        <f aca="false">IF('📋 Trade Log'!B413&lt;&gt;"",'📋 Trade Log'!B413,"")</f>
        <v/>
      </c>
      <c r="C415" s="12" t="str">
        <f aca="false">IF('📋 Trade Log'!L413&lt;&gt;"",'📋 Trade Log'!L413,"")</f>
        <v/>
      </c>
      <c r="D415" s="12" t="str">
        <f aca="false">IF(A415&lt;&gt;"",SUM($C$6:C415),"")</f>
        <v/>
      </c>
      <c r="E415" s="12" t="str">
        <f aca="false">IF(A415&lt;&gt;"",B$3+D415,"")</f>
        <v/>
      </c>
      <c r="F415" s="12" t="str">
        <f aca="false">IF(A415&lt;&gt;"",MIN(0,E415-MAX($E$6:E415)),"")</f>
        <v/>
      </c>
      <c r="G415" s="36" t="str">
        <f aca="false">IF(A415&lt;&gt;"",IFERROR(F415/MAX($E$6:E415),0),"")</f>
        <v/>
      </c>
    </row>
    <row r="416" customFormat="false" ht="15" hidden="false" customHeight="false" outlineLevel="0" collapsed="false">
      <c r="A416" s="4" t="str">
        <f aca="false">IF('📋 Trade Log'!B414&lt;&gt;"",'📋 Trade Log'!A414,"")</f>
        <v/>
      </c>
      <c r="B416" s="5" t="str">
        <f aca="false">IF('📋 Trade Log'!B414&lt;&gt;"",'📋 Trade Log'!B414,"")</f>
        <v/>
      </c>
      <c r="C416" s="7" t="str">
        <f aca="false">IF('📋 Trade Log'!L414&lt;&gt;"",'📋 Trade Log'!L414,"")</f>
        <v/>
      </c>
      <c r="D416" s="7" t="str">
        <f aca="false">IF(A416&lt;&gt;"",SUM($C$6:C416),"")</f>
        <v/>
      </c>
      <c r="E416" s="7" t="str">
        <f aca="false">IF(A416&lt;&gt;"",B$3+D416,"")</f>
        <v/>
      </c>
      <c r="F416" s="7" t="str">
        <f aca="false">IF(A416&lt;&gt;"",MIN(0,E416-MAX($E$6:E416)),"")</f>
        <v/>
      </c>
      <c r="G416" s="35" t="str">
        <f aca="false">IF(A416&lt;&gt;"",IFERROR(F416/MAX($E$6:E416),0),"")</f>
        <v/>
      </c>
    </row>
    <row r="417" customFormat="false" ht="15" hidden="false" customHeight="false" outlineLevel="0" collapsed="false">
      <c r="A417" s="9" t="str">
        <f aca="false">IF('📋 Trade Log'!B415&lt;&gt;"",'📋 Trade Log'!A415,"")</f>
        <v/>
      </c>
      <c r="B417" s="10" t="str">
        <f aca="false">IF('📋 Trade Log'!B415&lt;&gt;"",'📋 Trade Log'!B415,"")</f>
        <v/>
      </c>
      <c r="C417" s="12" t="str">
        <f aca="false">IF('📋 Trade Log'!L415&lt;&gt;"",'📋 Trade Log'!L415,"")</f>
        <v/>
      </c>
      <c r="D417" s="12" t="str">
        <f aca="false">IF(A417&lt;&gt;"",SUM($C$6:C417),"")</f>
        <v/>
      </c>
      <c r="E417" s="12" t="str">
        <f aca="false">IF(A417&lt;&gt;"",B$3+D417,"")</f>
        <v/>
      </c>
      <c r="F417" s="12" t="str">
        <f aca="false">IF(A417&lt;&gt;"",MIN(0,E417-MAX($E$6:E417)),"")</f>
        <v/>
      </c>
      <c r="G417" s="36" t="str">
        <f aca="false">IF(A417&lt;&gt;"",IFERROR(F417/MAX($E$6:E417),0),"")</f>
        <v/>
      </c>
    </row>
    <row r="418" customFormat="false" ht="15" hidden="false" customHeight="false" outlineLevel="0" collapsed="false">
      <c r="A418" s="4" t="str">
        <f aca="false">IF('📋 Trade Log'!B416&lt;&gt;"",'📋 Trade Log'!A416,"")</f>
        <v/>
      </c>
      <c r="B418" s="5" t="str">
        <f aca="false">IF('📋 Trade Log'!B416&lt;&gt;"",'📋 Trade Log'!B416,"")</f>
        <v/>
      </c>
      <c r="C418" s="7" t="str">
        <f aca="false">IF('📋 Trade Log'!L416&lt;&gt;"",'📋 Trade Log'!L416,"")</f>
        <v/>
      </c>
      <c r="D418" s="7" t="str">
        <f aca="false">IF(A418&lt;&gt;"",SUM($C$6:C418),"")</f>
        <v/>
      </c>
      <c r="E418" s="7" t="str">
        <f aca="false">IF(A418&lt;&gt;"",B$3+D418,"")</f>
        <v/>
      </c>
      <c r="F418" s="7" t="str">
        <f aca="false">IF(A418&lt;&gt;"",MIN(0,E418-MAX($E$6:E418)),"")</f>
        <v/>
      </c>
      <c r="G418" s="35" t="str">
        <f aca="false">IF(A418&lt;&gt;"",IFERROR(F418/MAX($E$6:E418),0),"")</f>
        <v/>
      </c>
    </row>
    <row r="419" customFormat="false" ht="15" hidden="false" customHeight="false" outlineLevel="0" collapsed="false">
      <c r="A419" s="9" t="str">
        <f aca="false">IF('📋 Trade Log'!B417&lt;&gt;"",'📋 Trade Log'!A417,"")</f>
        <v/>
      </c>
      <c r="B419" s="10" t="str">
        <f aca="false">IF('📋 Trade Log'!B417&lt;&gt;"",'📋 Trade Log'!B417,"")</f>
        <v/>
      </c>
      <c r="C419" s="12" t="str">
        <f aca="false">IF('📋 Trade Log'!L417&lt;&gt;"",'📋 Trade Log'!L417,"")</f>
        <v/>
      </c>
      <c r="D419" s="12" t="str">
        <f aca="false">IF(A419&lt;&gt;"",SUM($C$6:C419),"")</f>
        <v/>
      </c>
      <c r="E419" s="12" t="str">
        <f aca="false">IF(A419&lt;&gt;"",B$3+D419,"")</f>
        <v/>
      </c>
      <c r="F419" s="12" t="str">
        <f aca="false">IF(A419&lt;&gt;"",MIN(0,E419-MAX($E$6:E419)),"")</f>
        <v/>
      </c>
      <c r="G419" s="36" t="str">
        <f aca="false">IF(A419&lt;&gt;"",IFERROR(F419/MAX($E$6:E419),0),"")</f>
        <v/>
      </c>
    </row>
    <row r="420" customFormat="false" ht="15" hidden="false" customHeight="false" outlineLevel="0" collapsed="false">
      <c r="A420" s="4" t="str">
        <f aca="false">IF('📋 Trade Log'!B418&lt;&gt;"",'📋 Trade Log'!A418,"")</f>
        <v/>
      </c>
      <c r="B420" s="5" t="str">
        <f aca="false">IF('📋 Trade Log'!B418&lt;&gt;"",'📋 Trade Log'!B418,"")</f>
        <v/>
      </c>
      <c r="C420" s="7" t="str">
        <f aca="false">IF('📋 Trade Log'!L418&lt;&gt;"",'📋 Trade Log'!L418,"")</f>
        <v/>
      </c>
      <c r="D420" s="7" t="str">
        <f aca="false">IF(A420&lt;&gt;"",SUM($C$6:C420),"")</f>
        <v/>
      </c>
      <c r="E420" s="7" t="str">
        <f aca="false">IF(A420&lt;&gt;"",B$3+D420,"")</f>
        <v/>
      </c>
      <c r="F420" s="7" t="str">
        <f aca="false">IF(A420&lt;&gt;"",MIN(0,E420-MAX($E$6:E420)),"")</f>
        <v/>
      </c>
      <c r="G420" s="35" t="str">
        <f aca="false">IF(A420&lt;&gt;"",IFERROR(F420/MAX($E$6:E420),0),"")</f>
        <v/>
      </c>
    </row>
    <row r="421" customFormat="false" ht="15" hidden="false" customHeight="false" outlineLevel="0" collapsed="false">
      <c r="A421" s="9" t="str">
        <f aca="false">IF('📋 Trade Log'!B419&lt;&gt;"",'📋 Trade Log'!A419,"")</f>
        <v/>
      </c>
      <c r="B421" s="10" t="str">
        <f aca="false">IF('📋 Trade Log'!B419&lt;&gt;"",'📋 Trade Log'!B419,"")</f>
        <v/>
      </c>
      <c r="C421" s="12" t="str">
        <f aca="false">IF('📋 Trade Log'!L419&lt;&gt;"",'📋 Trade Log'!L419,"")</f>
        <v/>
      </c>
      <c r="D421" s="12" t="str">
        <f aca="false">IF(A421&lt;&gt;"",SUM($C$6:C421),"")</f>
        <v/>
      </c>
      <c r="E421" s="12" t="str">
        <f aca="false">IF(A421&lt;&gt;"",B$3+D421,"")</f>
        <v/>
      </c>
      <c r="F421" s="12" t="str">
        <f aca="false">IF(A421&lt;&gt;"",MIN(0,E421-MAX($E$6:E421)),"")</f>
        <v/>
      </c>
      <c r="G421" s="36" t="str">
        <f aca="false">IF(A421&lt;&gt;"",IFERROR(F421/MAX($E$6:E421),0),"")</f>
        <v/>
      </c>
    </row>
    <row r="422" customFormat="false" ht="15" hidden="false" customHeight="false" outlineLevel="0" collapsed="false">
      <c r="A422" s="4" t="str">
        <f aca="false">IF('📋 Trade Log'!B420&lt;&gt;"",'📋 Trade Log'!A420,"")</f>
        <v/>
      </c>
      <c r="B422" s="5" t="str">
        <f aca="false">IF('📋 Trade Log'!B420&lt;&gt;"",'📋 Trade Log'!B420,"")</f>
        <v/>
      </c>
      <c r="C422" s="7" t="str">
        <f aca="false">IF('📋 Trade Log'!L420&lt;&gt;"",'📋 Trade Log'!L420,"")</f>
        <v/>
      </c>
      <c r="D422" s="7" t="str">
        <f aca="false">IF(A422&lt;&gt;"",SUM($C$6:C422),"")</f>
        <v/>
      </c>
      <c r="E422" s="7" t="str">
        <f aca="false">IF(A422&lt;&gt;"",B$3+D422,"")</f>
        <v/>
      </c>
      <c r="F422" s="7" t="str">
        <f aca="false">IF(A422&lt;&gt;"",MIN(0,E422-MAX($E$6:E422)),"")</f>
        <v/>
      </c>
      <c r="G422" s="35" t="str">
        <f aca="false">IF(A422&lt;&gt;"",IFERROR(F422/MAX($E$6:E422),0),"")</f>
        <v/>
      </c>
    </row>
    <row r="423" customFormat="false" ht="15" hidden="false" customHeight="false" outlineLevel="0" collapsed="false">
      <c r="A423" s="9" t="str">
        <f aca="false">IF('📋 Trade Log'!B421&lt;&gt;"",'📋 Trade Log'!A421,"")</f>
        <v/>
      </c>
      <c r="B423" s="10" t="str">
        <f aca="false">IF('📋 Trade Log'!B421&lt;&gt;"",'📋 Trade Log'!B421,"")</f>
        <v/>
      </c>
      <c r="C423" s="12" t="str">
        <f aca="false">IF('📋 Trade Log'!L421&lt;&gt;"",'📋 Trade Log'!L421,"")</f>
        <v/>
      </c>
      <c r="D423" s="12" t="str">
        <f aca="false">IF(A423&lt;&gt;"",SUM($C$6:C423),"")</f>
        <v/>
      </c>
      <c r="E423" s="12" t="str">
        <f aca="false">IF(A423&lt;&gt;"",B$3+D423,"")</f>
        <v/>
      </c>
      <c r="F423" s="12" t="str">
        <f aca="false">IF(A423&lt;&gt;"",MIN(0,E423-MAX($E$6:E423)),"")</f>
        <v/>
      </c>
      <c r="G423" s="36" t="str">
        <f aca="false">IF(A423&lt;&gt;"",IFERROR(F423/MAX($E$6:E423),0),"")</f>
        <v/>
      </c>
    </row>
    <row r="424" customFormat="false" ht="15" hidden="false" customHeight="false" outlineLevel="0" collapsed="false">
      <c r="A424" s="4" t="str">
        <f aca="false">IF('📋 Trade Log'!B422&lt;&gt;"",'📋 Trade Log'!A422,"")</f>
        <v/>
      </c>
      <c r="B424" s="5" t="str">
        <f aca="false">IF('📋 Trade Log'!B422&lt;&gt;"",'📋 Trade Log'!B422,"")</f>
        <v/>
      </c>
      <c r="C424" s="7" t="str">
        <f aca="false">IF('📋 Trade Log'!L422&lt;&gt;"",'📋 Trade Log'!L422,"")</f>
        <v/>
      </c>
      <c r="D424" s="7" t="str">
        <f aca="false">IF(A424&lt;&gt;"",SUM($C$6:C424),"")</f>
        <v/>
      </c>
      <c r="E424" s="7" t="str">
        <f aca="false">IF(A424&lt;&gt;"",B$3+D424,"")</f>
        <v/>
      </c>
      <c r="F424" s="7" t="str">
        <f aca="false">IF(A424&lt;&gt;"",MIN(0,E424-MAX($E$6:E424)),"")</f>
        <v/>
      </c>
      <c r="G424" s="35" t="str">
        <f aca="false">IF(A424&lt;&gt;"",IFERROR(F424/MAX($E$6:E424),0),"")</f>
        <v/>
      </c>
    </row>
    <row r="425" customFormat="false" ht="15" hidden="false" customHeight="false" outlineLevel="0" collapsed="false">
      <c r="A425" s="9" t="str">
        <f aca="false">IF('📋 Trade Log'!B423&lt;&gt;"",'📋 Trade Log'!A423,"")</f>
        <v/>
      </c>
      <c r="B425" s="10" t="str">
        <f aca="false">IF('📋 Trade Log'!B423&lt;&gt;"",'📋 Trade Log'!B423,"")</f>
        <v/>
      </c>
      <c r="C425" s="12" t="str">
        <f aca="false">IF('📋 Trade Log'!L423&lt;&gt;"",'📋 Trade Log'!L423,"")</f>
        <v/>
      </c>
      <c r="D425" s="12" t="str">
        <f aca="false">IF(A425&lt;&gt;"",SUM($C$6:C425),"")</f>
        <v/>
      </c>
      <c r="E425" s="12" t="str">
        <f aca="false">IF(A425&lt;&gt;"",B$3+D425,"")</f>
        <v/>
      </c>
      <c r="F425" s="12" t="str">
        <f aca="false">IF(A425&lt;&gt;"",MIN(0,E425-MAX($E$6:E425)),"")</f>
        <v/>
      </c>
      <c r="G425" s="36" t="str">
        <f aca="false">IF(A425&lt;&gt;"",IFERROR(F425/MAX($E$6:E425),0),"")</f>
        <v/>
      </c>
    </row>
    <row r="426" customFormat="false" ht="15" hidden="false" customHeight="false" outlineLevel="0" collapsed="false">
      <c r="A426" s="4" t="str">
        <f aca="false">IF('📋 Trade Log'!B424&lt;&gt;"",'📋 Trade Log'!A424,"")</f>
        <v/>
      </c>
      <c r="B426" s="5" t="str">
        <f aca="false">IF('📋 Trade Log'!B424&lt;&gt;"",'📋 Trade Log'!B424,"")</f>
        <v/>
      </c>
      <c r="C426" s="7" t="str">
        <f aca="false">IF('📋 Trade Log'!L424&lt;&gt;"",'📋 Trade Log'!L424,"")</f>
        <v/>
      </c>
      <c r="D426" s="7" t="str">
        <f aca="false">IF(A426&lt;&gt;"",SUM($C$6:C426),"")</f>
        <v/>
      </c>
      <c r="E426" s="7" t="str">
        <f aca="false">IF(A426&lt;&gt;"",B$3+D426,"")</f>
        <v/>
      </c>
      <c r="F426" s="7" t="str">
        <f aca="false">IF(A426&lt;&gt;"",MIN(0,E426-MAX($E$6:E426)),"")</f>
        <v/>
      </c>
      <c r="G426" s="35" t="str">
        <f aca="false">IF(A426&lt;&gt;"",IFERROR(F426/MAX($E$6:E426),0),"")</f>
        <v/>
      </c>
    </row>
    <row r="427" customFormat="false" ht="15" hidden="false" customHeight="false" outlineLevel="0" collapsed="false">
      <c r="A427" s="9" t="str">
        <f aca="false">IF('📋 Trade Log'!B425&lt;&gt;"",'📋 Trade Log'!A425,"")</f>
        <v/>
      </c>
      <c r="B427" s="10" t="str">
        <f aca="false">IF('📋 Trade Log'!B425&lt;&gt;"",'📋 Trade Log'!B425,"")</f>
        <v/>
      </c>
      <c r="C427" s="12" t="str">
        <f aca="false">IF('📋 Trade Log'!L425&lt;&gt;"",'📋 Trade Log'!L425,"")</f>
        <v/>
      </c>
      <c r="D427" s="12" t="str">
        <f aca="false">IF(A427&lt;&gt;"",SUM($C$6:C427),"")</f>
        <v/>
      </c>
      <c r="E427" s="12" t="str">
        <f aca="false">IF(A427&lt;&gt;"",B$3+D427,"")</f>
        <v/>
      </c>
      <c r="F427" s="12" t="str">
        <f aca="false">IF(A427&lt;&gt;"",MIN(0,E427-MAX($E$6:E427)),"")</f>
        <v/>
      </c>
      <c r="G427" s="36" t="str">
        <f aca="false">IF(A427&lt;&gt;"",IFERROR(F427/MAX($E$6:E427),0),"")</f>
        <v/>
      </c>
    </row>
    <row r="428" customFormat="false" ht="15" hidden="false" customHeight="false" outlineLevel="0" collapsed="false">
      <c r="A428" s="4" t="str">
        <f aca="false">IF('📋 Trade Log'!B426&lt;&gt;"",'📋 Trade Log'!A426,"")</f>
        <v/>
      </c>
      <c r="B428" s="5" t="str">
        <f aca="false">IF('📋 Trade Log'!B426&lt;&gt;"",'📋 Trade Log'!B426,"")</f>
        <v/>
      </c>
      <c r="C428" s="7" t="str">
        <f aca="false">IF('📋 Trade Log'!L426&lt;&gt;"",'📋 Trade Log'!L426,"")</f>
        <v/>
      </c>
      <c r="D428" s="7" t="str">
        <f aca="false">IF(A428&lt;&gt;"",SUM($C$6:C428),"")</f>
        <v/>
      </c>
      <c r="E428" s="7" t="str">
        <f aca="false">IF(A428&lt;&gt;"",B$3+D428,"")</f>
        <v/>
      </c>
      <c r="F428" s="7" t="str">
        <f aca="false">IF(A428&lt;&gt;"",MIN(0,E428-MAX($E$6:E428)),"")</f>
        <v/>
      </c>
      <c r="G428" s="35" t="str">
        <f aca="false">IF(A428&lt;&gt;"",IFERROR(F428/MAX($E$6:E428),0),"")</f>
        <v/>
      </c>
    </row>
    <row r="429" customFormat="false" ht="15" hidden="false" customHeight="false" outlineLevel="0" collapsed="false">
      <c r="A429" s="9" t="str">
        <f aca="false">IF('📋 Trade Log'!B427&lt;&gt;"",'📋 Trade Log'!A427,"")</f>
        <v/>
      </c>
      <c r="B429" s="10" t="str">
        <f aca="false">IF('📋 Trade Log'!B427&lt;&gt;"",'📋 Trade Log'!B427,"")</f>
        <v/>
      </c>
      <c r="C429" s="12" t="str">
        <f aca="false">IF('📋 Trade Log'!L427&lt;&gt;"",'📋 Trade Log'!L427,"")</f>
        <v/>
      </c>
      <c r="D429" s="12" t="str">
        <f aca="false">IF(A429&lt;&gt;"",SUM($C$6:C429),"")</f>
        <v/>
      </c>
      <c r="E429" s="12" t="str">
        <f aca="false">IF(A429&lt;&gt;"",B$3+D429,"")</f>
        <v/>
      </c>
      <c r="F429" s="12" t="str">
        <f aca="false">IF(A429&lt;&gt;"",MIN(0,E429-MAX($E$6:E429)),"")</f>
        <v/>
      </c>
      <c r="G429" s="36" t="str">
        <f aca="false">IF(A429&lt;&gt;"",IFERROR(F429/MAX($E$6:E429),0),"")</f>
        <v/>
      </c>
    </row>
    <row r="430" customFormat="false" ht="15" hidden="false" customHeight="false" outlineLevel="0" collapsed="false">
      <c r="A430" s="4" t="str">
        <f aca="false">IF('📋 Trade Log'!B428&lt;&gt;"",'📋 Trade Log'!A428,"")</f>
        <v/>
      </c>
      <c r="B430" s="5" t="str">
        <f aca="false">IF('📋 Trade Log'!B428&lt;&gt;"",'📋 Trade Log'!B428,"")</f>
        <v/>
      </c>
      <c r="C430" s="7" t="str">
        <f aca="false">IF('📋 Trade Log'!L428&lt;&gt;"",'📋 Trade Log'!L428,"")</f>
        <v/>
      </c>
      <c r="D430" s="7" t="str">
        <f aca="false">IF(A430&lt;&gt;"",SUM($C$6:C430),"")</f>
        <v/>
      </c>
      <c r="E430" s="7" t="str">
        <f aca="false">IF(A430&lt;&gt;"",B$3+D430,"")</f>
        <v/>
      </c>
      <c r="F430" s="7" t="str">
        <f aca="false">IF(A430&lt;&gt;"",MIN(0,E430-MAX($E$6:E430)),"")</f>
        <v/>
      </c>
      <c r="G430" s="35" t="str">
        <f aca="false">IF(A430&lt;&gt;"",IFERROR(F430/MAX($E$6:E430),0),"")</f>
        <v/>
      </c>
    </row>
    <row r="431" customFormat="false" ht="15" hidden="false" customHeight="false" outlineLevel="0" collapsed="false">
      <c r="A431" s="9" t="str">
        <f aca="false">IF('📋 Trade Log'!B429&lt;&gt;"",'📋 Trade Log'!A429,"")</f>
        <v/>
      </c>
      <c r="B431" s="10" t="str">
        <f aca="false">IF('📋 Trade Log'!B429&lt;&gt;"",'📋 Trade Log'!B429,"")</f>
        <v/>
      </c>
      <c r="C431" s="12" t="str">
        <f aca="false">IF('📋 Trade Log'!L429&lt;&gt;"",'📋 Trade Log'!L429,"")</f>
        <v/>
      </c>
      <c r="D431" s="12" t="str">
        <f aca="false">IF(A431&lt;&gt;"",SUM($C$6:C431),"")</f>
        <v/>
      </c>
      <c r="E431" s="12" t="str">
        <f aca="false">IF(A431&lt;&gt;"",B$3+D431,"")</f>
        <v/>
      </c>
      <c r="F431" s="12" t="str">
        <f aca="false">IF(A431&lt;&gt;"",MIN(0,E431-MAX($E$6:E431)),"")</f>
        <v/>
      </c>
      <c r="G431" s="36" t="str">
        <f aca="false">IF(A431&lt;&gt;"",IFERROR(F431/MAX($E$6:E431),0),"")</f>
        <v/>
      </c>
    </row>
    <row r="432" customFormat="false" ht="15" hidden="false" customHeight="false" outlineLevel="0" collapsed="false">
      <c r="A432" s="4" t="str">
        <f aca="false">IF('📋 Trade Log'!B430&lt;&gt;"",'📋 Trade Log'!A430,"")</f>
        <v/>
      </c>
      <c r="B432" s="5" t="str">
        <f aca="false">IF('📋 Trade Log'!B430&lt;&gt;"",'📋 Trade Log'!B430,"")</f>
        <v/>
      </c>
      <c r="C432" s="7" t="str">
        <f aca="false">IF('📋 Trade Log'!L430&lt;&gt;"",'📋 Trade Log'!L430,"")</f>
        <v/>
      </c>
      <c r="D432" s="7" t="str">
        <f aca="false">IF(A432&lt;&gt;"",SUM($C$6:C432),"")</f>
        <v/>
      </c>
      <c r="E432" s="7" t="str">
        <f aca="false">IF(A432&lt;&gt;"",B$3+D432,"")</f>
        <v/>
      </c>
      <c r="F432" s="7" t="str">
        <f aca="false">IF(A432&lt;&gt;"",MIN(0,E432-MAX($E$6:E432)),"")</f>
        <v/>
      </c>
      <c r="G432" s="35" t="str">
        <f aca="false">IF(A432&lt;&gt;"",IFERROR(F432/MAX($E$6:E432),0),"")</f>
        <v/>
      </c>
    </row>
    <row r="433" customFormat="false" ht="15" hidden="false" customHeight="false" outlineLevel="0" collapsed="false">
      <c r="A433" s="9" t="str">
        <f aca="false">IF('📋 Trade Log'!B431&lt;&gt;"",'📋 Trade Log'!A431,"")</f>
        <v/>
      </c>
      <c r="B433" s="10" t="str">
        <f aca="false">IF('📋 Trade Log'!B431&lt;&gt;"",'📋 Trade Log'!B431,"")</f>
        <v/>
      </c>
      <c r="C433" s="12" t="str">
        <f aca="false">IF('📋 Trade Log'!L431&lt;&gt;"",'📋 Trade Log'!L431,"")</f>
        <v/>
      </c>
      <c r="D433" s="12" t="str">
        <f aca="false">IF(A433&lt;&gt;"",SUM($C$6:C433),"")</f>
        <v/>
      </c>
      <c r="E433" s="12" t="str">
        <f aca="false">IF(A433&lt;&gt;"",B$3+D433,"")</f>
        <v/>
      </c>
      <c r="F433" s="12" t="str">
        <f aca="false">IF(A433&lt;&gt;"",MIN(0,E433-MAX($E$6:E433)),"")</f>
        <v/>
      </c>
      <c r="G433" s="36" t="str">
        <f aca="false">IF(A433&lt;&gt;"",IFERROR(F433/MAX($E$6:E433),0),"")</f>
        <v/>
      </c>
    </row>
    <row r="434" customFormat="false" ht="15" hidden="false" customHeight="false" outlineLevel="0" collapsed="false">
      <c r="A434" s="4" t="str">
        <f aca="false">IF('📋 Trade Log'!B432&lt;&gt;"",'📋 Trade Log'!A432,"")</f>
        <v/>
      </c>
      <c r="B434" s="5" t="str">
        <f aca="false">IF('📋 Trade Log'!B432&lt;&gt;"",'📋 Trade Log'!B432,"")</f>
        <v/>
      </c>
      <c r="C434" s="7" t="str">
        <f aca="false">IF('📋 Trade Log'!L432&lt;&gt;"",'📋 Trade Log'!L432,"")</f>
        <v/>
      </c>
      <c r="D434" s="7" t="str">
        <f aca="false">IF(A434&lt;&gt;"",SUM($C$6:C434),"")</f>
        <v/>
      </c>
      <c r="E434" s="7" t="str">
        <f aca="false">IF(A434&lt;&gt;"",B$3+D434,"")</f>
        <v/>
      </c>
      <c r="F434" s="7" t="str">
        <f aca="false">IF(A434&lt;&gt;"",MIN(0,E434-MAX($E$6:E434)),"")</f>
        <v/>
      </c>
      <c r="G434" s="35" t="str">
        <f aca="false">IF(A434&lt;&gt;"",IFERROR(F434/MAX($E$6:E434),0),"")</f>
        <v/>
      </c>
    </row>
    <row r="435" customFormat="false" ht="15" hidden="false" customHeight="false" outlineLevel="0" collapsed="false">
      <c r="A435" s="9" t="str">
        <f aca="false">IF('📋 Trade Log'!B433&lt;&gt;"",'📋 Trade Log'!A433,"")</f>
        <v/>
      </c>
      <c r="B435" s="10" t="str">
        <f aca="false">IF('📋 Trade Log'!B433&lt;&gt;"",'📋 Trade Log'!B433,"")</f>
        <v/>
      </c>
      <c r="C435" s="12" t="str">
        <f aca="false">IF('📋 Trade Log'!L433&lt;&gt;"",'📋 Trade Log'!L433,"")</f>
        <v/>
      </c>
      <c r="D435" s="12" t="str">
        <f aca="false">IF(A435&lt;&gt;"",SUM($C$6:C435),"")</f>
        <v/>
      </c>
      <c r="E435" s="12" t="str">
        <f aca="false">IF(A435&lt;&gt;"",B$3+D435,"")</f>
        <v/>
      </c>
      <c r="F435" s="12" t="str">
        <f aca="false">IF(A435&lt;&gt;"",MIN(0,E435-MAX($E$6:E435)),"")</f>
        <v/>
      </c>
      <c r="G435" s="36" t="str">
        <f aca="false">IF(A435&lt;&gt;"",IFERROR(F435/MAX($E$6:E435),0),"")</f>
        <v/>
      </c>
    </row>
    <row r="436" customFormat="false" ht="15" hidden="false" customHeight="false" outlineLevel="0" collapsed="false">
      <c r="A436" s="4" t="str">
        <f aca="false">IF('📋 Trade Log'!B434&lt;&gt;"",'📋 Trade Log'!A434,"")</f>
        <v/>
      </c>
      <c r="B436" s="5" t="str">
        <f aca="false">IF('📋 Trade Log'!B434&lt;&gt;"",'📋 Trade Log'!B434,"")</f>
        <v/>
      </c>
      <c r="C436" s="7" t="str">
        <f aca="false">IF('📋 Trade Log'!L434&lt;&gt;"",'📋 Trade Log'!L434,"")</f>
        <v/>
      </c>
      <c r="D436" s="7" t="str">
        <f aca="false">IF(A436&lt;&gt;"",SUM($C$6:C436),"")</f>
        <v/>
      </c>
      <c r="E436" s="7" t="str">
        <f aca="false">IF(A436&lt;&gt;"",B$3+D436,"")</f>
        <v/>
      </c>
      <c r="F436" s="7" t="str">
        <f aca="false">IF(A436&lt;&gt;"",MIN(0,E436-MAX($E$6:E436)),"")</f>
        <v/>
      </c>
      <c r="G436" s="35" t="str">
        <f aca="false">IF(A436&lt;&gt;"",IFERROR(F436/MAX($E$6:E436),0),"")</f>
        <v/>
      </c>
    </row>
    <row r="437" customFormat="false" ht="15" hidden="false" customHeight="false" outlineLevel="0" collapsed="false">
      <c r="A437" s="9" t="str">
        <f aca="false">IF('📋 Trade Log'!B435&lt;&gt;"",'📋 Trade Log'!A435,"")</f>
        <v/>
      </c>
      <c r="B437" s="10" t="str">
        <f aca="false">IF('📋 Trade Log'!B435&lt;&gt;"",'📋 Trade Log'!B435,"")</f>
        <v/>
      </c>
      <c r="C437" s="12" t="str">
        <f aca="false">IF('📋 Trade Log'!L435&lt;&gt;"",'📋 Trade Log'!L435,"")</f>
        <v/>
      </c>
      <c r="D437" s="12" t="str">
        <f aca="false">IF(A437&lt;&gt;"",SUM($C$6:C437),"")</f>
        <v/>
      </c>
      <c r="E437" s="12" t="str">
        <f aca="false">IF(A437&lt;&gt;"",B$3+D437,"")</f>
        <v/>
      </c>
      <c r="F437" s="12" t="str">
        <f aca="false">IF(A437&lt;&gt;"",MIN(0,E437-MAX($E$6:E437)),"")</f>
        <v/>
      </c>
      <c r="G437" s="36" t="str">
        <f aca="false">IF(A437&lt;&gt;"",IFERROR(F437/MAX($E$6:E437),0),"")</f>
        <v/>
      </c>
    </row>
    <row r="438" customFormat="false" ht="15" hidden="false" customHeight="false" outlineLevel="0" collapsed="false">
      <c r="A438" s="4" t="str">
        <f aca="false">IF('📋 Trade Log'!B436&lt;&gt;"",'📋 Trade Log'!A436,"")</f>
        <v/>
      </c>
      <c r="B438" s="5" t="str">
        <f aca="false">IF('📋 Trade Log'!B436&lt;&gt;"",'📋 Trade Log'!B436,"")</f>
        <v/>
      </c>
      <c r="C438" s="7" t="str">
        <f aca="false">IF('📋 Trade Log'!L436&lt;&gt;"",'📋 Trade Log'!L436,"")</f>
        <v/>
      </c>
      <c r="D438" s="7" t="str">
        <f aca="false">IF(A438&lt;&gt;"",SUM($C$6:C438),"")</f>
        <v/>
      </c>
      <c r="E438" s="7" t="str">
        <f aca="false">IF(A438&lt;&gt;"",B$3+D438,"")</f>
        <v/>
      </c>
      <c r="F438" s="7" t="str">
        <f aca="false">IF(A438&lt;&gt;"",MIN(0,E438-MAX($E$6:E438)),"")</f>
        <v/>
      </c>
      <c r="G438" s="35" t="str">
        <f aca="false">IF(A438&lt;&gt;"",IFERROR(F438/MAX($E$6:E438),0),"")</f>
        <v/>
      </c>
    </row>
    <row r="439" customFormat="false" ht="15" hidden="false" customHeight="false" outlineLevel="0" collapsed="false">
      <c r="A439" s="9" t="str">
        <f aca="false">IF('📋 Trade Log'!B437&lt;&gt;"",'📋 Trade Log'!A437,"")</f>
        <v/>
      </c>
      <c r="B439" s="10" t="str">
        <f aca="false">IF('📋 Trade Log'!B437&lt;&gt;"",'📋 Trade Log'!B437,"")</f>
        <v/>
      </c>
      <c r="C439" s="12" t="str">
        <f aca="false">IF('📋 Trade Log'!L437&lt;&gt;"",'📋 Trade Log'!L437,"")</f>
        <v/>
      </c>
      <c r="D439" s="12" t="str">
        <f aca="false">IF(A439&lt;&gt;"",SUM($C$6:C439),"")</f>
        <v/>
      </c>
      <c r="E439" s="12" t="str">
        <f aca="false">IF(A439&lt;&gt;"",B$3+D439,"")</f>
        <v/>
      </c>
      <c r="F439" s="12" t="str">
        <f aca="false">IF(A439&lt;&gt;"",MIN(0,E439-MAX($E$6:E439)),"")</f>
        <v/>
      </c>
      <c r="G439" s="36" t="str">
        <f aca="false">IF(A439&lt;&gt;"",IFERROR(F439/MAX($E$6:E439),0),"")</f>
        <v/>
      </c>
    </row>
    <row r="440" customFormat="false" ht="15" hidden="false" customHeight="false" outlineLevel="0" collapsed="false">
      <c r="A440" s="4" t="str">
        <f aca="false">IF('📋 Trade Log'!B438&lt;&gt;"",'📋 Trade Log'!A438,"")</f>
        <v/>
      </c>
      <c r="B440" s="5" t="str">
        <f aca="false">IF('📋 Trade Log'!B438&lt;&gt;"",'📋 Trade Log'!B438,"")</f>
        <v/>
      </c>
      <c r="C440" s="7" t="str">
        <f aca="false">IF('📋 Trade Log'!L438&lt;&gt;"",'📋 Trade Log'!L438,"")</f>
        <v/>
      </c>
      <c r="D440" s="7" t="str">
        <f aca="false">IF(A440&lt;&gt;"",SUM($C$6:C440),"")</f>
        <v/>
      </c>
      <c r="E440" s="7" t="str">
        <f aca="false">IF(A440&lt;&gt;"",B$3+D440,"")</f>
        <v/>
      </c>
      <c r="F440" s="7" t="str">
        <f aca="false">IF(A440&lt;&gt;"",MIN(0,E440-MAX($E$6:E440)),"")</f>
        <v/>
      </c>
      <c r="G440" s="35" t="str">
        <f aca="false">IF(A440&lt;&gt;"",IFERROR(F440/MAX($E$6:E440),0),"")</f>
        <v/>
      </c>
    </row>
    <row r="441" customFormat="false" ht="15" hidden="false" customHeight="false" outlineLevel="0" collapsed="false">
      <c r="A441" s="9" t="str">
        <f aca="false">IF('📋 Trade Log'!B439&lt;&gt;"",'📋 Trade Log'!A439,"")</f>
        <v/>
      </c>
      <c r="B441" s="10" t="str">
        <f aca="false">IF('📋 Trade Log'!B439&lt;&gt;"",'📋 Trade Log'!B439,"")</f>
        <v/>
      </c>
      <c r="C441" s="12" t="str">
        <f aca="false">IF('📋 Trade Log'!L439&lt;&gt;"",'📋 Trade Log'!L439,"")</f>
        <v/>
      </c>
      <c r="D441" s="12" t="str">
        <f aca="false">IF(A441&lt;&gt;"",SUM($C$6:C441),"")</f>
        <v/>
      </c>
      <c r="E441" s="12" t="str">
        <f aca="false">IF(A441&lt;&gt;"",B$3+D441,"")</f>
        <v/>
      </c>
      <c r="F441" s="12" t="str">
        <f aca="false">IF(A441&lt;&gt;"",MIN(0,E441-MAX($E$6:E441)),"")</f>
        <v/>
      </c>
      <c r="G441" s="36" t="str">
        <f aca="false">IF(A441&lt;&gt;"",IFERROR(F441/MAX($E$6:E441),0),"")</f>
        <v/>
      </c>
    </row>
    <row r="442" customFormat="false" ht="15" hidden="false" customHeight="false" outlineLevel="0" collapsed="false">
      <c r="A442" s="4" t="str">
        <f aca="false">IF('📋 Trade Log'!B440&lt;&gt;"",'📋 Trade Log'!A440,"")</f>
        <v/>
      </c>
      <c r="B442" s="5" t="str">
        <f aca="false">IF('📋 Trade Log'!B440&lt;&gt;"",'📋 Trade Log'!B440,"")</f>
        <v/>
      </c>
      <c r="C442" s="7" t="str">
        <f aca="false">IF('📋 Trade Log'!L440&lt;&gt;"",'📋 Trade Log'!L440,"")</f>
        <v/>
      </c>
      <c r="D442" s="7" t="str">
        <f aca="false">IF(A442&lt;&gt;"",SUM($C$6:C442),"")</f>
        <v/>
      </c>
      <c r="E442" s="7" t="str">
        <f aca="false">IF(A442&lt;&gt;"",B$3+D442,"")</f>
        <v/>
      </c>
      <c r="F442" s="7" t="str">
        <f aca="false">IF(A442&lt;&gt;"",MIN(0,E442-MAX($E$6:E442)),"")</f>
        <v/>
      </c>
      <c r="G442" s="35" t="str">
        <f aca="false">IF(A442&lt;&gt;"",IFERROR(F442/MAX($E$6:E442),0),"")</f>
        <v/>
      </c>
    </row>
    <row r="443" customFormat="false" ht="15" hidden="false" customHeight="false" outlineLevel="0" collapsed="false">
      <c r="A443" s="9" t="str">
        <f aca="false">IF('📋 Trade Log'!B441&lt;&gt;"",'📋 Trade Log'!A441,"")</f>
        <v/>
      </c>
      <c r="B443" s="10" t="str">
        <f aca="false">IF('📋 Trade Log'!B441&lt;&gt;"",'📋 Trade Log'!B441,"")</f>
        <v/>
      </c>
      <c r="C443" s="12" t="str">
        <f aca="false">IF('📋 Trade Log'!L441&lt;&gt;"",'📋 Trade Log'!L441,"")</f>
        <v/>
      </c>
      <c r="D443" s="12" t="str">
        <f aca="false">IF(A443&lt;&gt;"",SUM($C$6:C443),"")</f>
        <v/>
      </c>
      <c r="E443" s="12" t="str">
        <f aca="false">IF(A443&lt;&gt;"",B$3+D443,"")</f>
        <v/>
      </c>
      <c r="F443" s="12" t="str">
        <f aca="false">IF(A443&lt;&gt;"",MIN(0,E443-MAX($E$6:E443)),"")</f>
        <v/>
      </c>
      <c r="G443" s="36" t="str">
        <f aca="false">IF(A443&lt;&gt;"",IFERROR(F443/MAX($E$6:E443),0),"")</f>
        <v/>
      </c>
    </row>
    <row r="444" customFormat="false" ht="15" hidden="false" customHeight="false" outlineLevel="0" collapsed="false">
      <c r="A444" s="4" t="str">
        <f aca="false">IF('📋 Trade Log'!B442&lt;&gt;"",'📋 Trade Log'!A442,"")</f>
        <v/>
      </c>
      <c r="B444" s="5" t="str">
        <f aca="false">IF('📋 Trade Log'!B442&lt;&gt;"",'📋 Trade Log'!B442,"")</f>
        <v/>
      </c>
      <c r="C444" s="7" t="str">
        <f aca="false">IF('📋 Trade Log'!L442&lt;&gt;"",'📋 Trade Log'!L442,"")</f>
        <v/>
      </c>
      <c r="D444" s="7" t="str">
        <f aca="false">IF(A444&lt;&gt;"",SUM($C$6:C444),"")</f>
        <v/>
      </c>
      <c r="E444" s="7" t="str">
        <f aca="false">IF(A444&lt;&gt;"",B$3+D444,"")</f>
        <v/>
      </c>
      <c r="F444" s="7" t="str">
        <f aca="false">IF(A444&lt;&gt;"",MIN(0,E444-MAX($E$6:E444)),"")</f>
        <v/>
      </c>
      <c r="G444" s="35" t="str">
        <f aca="false">IF(A444&lt;&gt;"",IFERROR(F444/MAX($E$6:E444),0),"")</f>
        <v/>
      </c>
    </row>
    <row r="445" customFormat="false" ht="15" hidden="false" customHeight="false" outlineLevel="0" collapsed="false">
      <c r="A445" s="9" t="str">
        <f aca="false">IF('📋 Trade Log'!B443&lt;&gt;"",'📋 Trade Log'!A443,"")</f>
        <v/>
      </c>
      <c r="B445" s="10" t="str">
        <f aca="false">IF('📋 Trade Log'!B443&lt;&gt;"",'📋 Trade Log'!B443,"")</f>
        <v/>
      </c>
      <c r="C445" s="12" t="str">
        <f aca="false">IF('📋 Trade Log'!L443&lt;&gt;"",'📋 Trade Log'!L443,"")</f>
        <v/>
      </c>
      <c r="D445" s="12" t="str">
        <f aca="false">IF(A445&lt;&gt;"",SUM($C$6:C445),"")</f>
        <v/>
      </c>
      <c r="E445" s="12" t="str">
        <f aca="false">IF(A445&lt;&gt;"",B$3+D445,"")</f>
        <v/>
      </c>
      <c r="F445" s="12" t="str">
        <f aca="false">IF(A445&lt;&gt;"",MIN(0,E445-MAX($E$6:E445)),"")</f>
        <v/>
      </c>
      <c r="G445" s="36" t="str">
        <f aca="false">IF(A445&lt;&gt;"",IFERROR(F445/MAX($E$6:E445),0),"")</f>
        <v/>
      </c>
    </row>
    <row r="446" customFormat="false" ht="15" hidden="false" customHeight="false" outlineLevel="0" collapsed="false">
      <c r="A446" s="4" t="str">
        <f aca="false">IF('📋 Trade Log'!B444&lt;&gt;"",'📋 Trade Log'!A444,"")</f>
        <v/>
      </c>
      <c r="B446" s="5" t="str">
        <f aca="false">IF('📋 Trade Log'!B444&lt;&gt;"",'📋 Trade Log'!B444,"")</f>
        <v/>
      </c>
      <c r="C446" s="7" t="str">
        <f aca="false">IF('📋 Trade Log'!L444&lt;&gt;"",'📋 Trade Log'!L444,"")</f>
        <v/>
      </c>
      <c r="D446" s="7" t="str">
        <f aca="false">IF(A446&lt;&gt;"",SUM($C$6:C446),"")</f>
        <v/>
      </c>
      <c r="E446" s="7" t="str">
        <f aca="false">IF(A446&lt;&gt;"",B$3+D446,"")</f>
        <v/>
      </c>
      <c r="F446" s="7" t="str">
        <f aca="false">IF(A446&lt;&gt;"",MIN(0,E446-MAX($E$6:E446)),"")</f>
        <v/>
      </c>
      <c r="G446" s="35" t="str">
        <f aca="false">IF(A446&lt;&gt;"",IFERROR(F446/MAX($E$6:E446),0),"")</f>
        <v/>
      </c>
    </row>
    <row r="447" customFormat="false" ht="15" hidden="false" customHeight="false" outlineLevel="0" collapsed="false">
      <c r="A447" s="9" t="str">
        <f aca="false">IF('📋 Trade Log'!B445&lt;&gt;"",'📋 Trade Log'!A445,"")</f>
        <v/>
      </c>
      <c r="B447" s="10" t="str">
        <f aca="false">IF('📋 Trade Log'!B445&lt;&gt;"",'📋 Trade Log'!B445,"")</f>
        <v/>
      </c>
      <c r="C447" s="12" t="str">
        <f aca="false">IF('📋 Trade Log'!L445&lt;&gt;"",'📋 Trade Log'!L445,"")</f>
        <v/>
      </c>
      <c r="D447" s="12" t="str">
        <f aca="false">IF(A447&lt;&gt;"",SUM($C$6:C447),"")</f>
        <v/>
      </c>
      <c r="E447" s="12" t="str">
        <f aca="false">IF(A447&lt;&gt;"",B$3+D447,"")</f>
        <v/>
      </c>
      <c r="F447" s="12" t="str">
        <f aca="false">IF(A447&lt;&gt;"",MIN(0,E447-MAX($E$6:E447)),"")</f>
        <v/>
      </c>
      <c r="G447" s="36" t="str">
        <f aca="false">IF(A447&lt;&gt;"",IFERROR(F447/MAX($E$6:E447),0),"")</f>
        <v/>
      </c>
    </row>
    <row r="448" customFormat="false" ht="15" hidden="false" customHeight="false" outlineLevel="0" collapsed="false">
      <c r="A448" s="4" t="str">
        <f aca="false">IF('📋 Trade Log'!B446&lt;&gt;"",'📋 Trade Log'!A446,"")</f>
        <v/>
      </c>
      <c r="B448" s="5" t="str">
        <f aca="false">IF('📋 Trade Log'!B446&lt;&gt;"",'📋 Trade Log'!B446,"")</f>
        <v/>
      </c>
      <c r="C448" s="7" t="str">
        <f aca="false">IF('📋 Trade Log'!L446&lt;&gt;"",'📋 Trade Log'!L446,"")</f>
        <v/>
      </c>
      <c r="D448" s="7" t="str">
        <f aca="false">IF(A448&lt;&gt;"",SUM($C$6:C448),"")</f>
        <v/>
      </c>
      <c r="E448" s="7" t="str">
        <f aca="false">IF(A448&lt;&gt;"",B$3+D448,"")</f>
        <v/>
      </c>
      <c r="F448" s="7" t="str">
        <f aca="false">IF(A448&lt;&gt;"",MIN(0,E448-MAX($E$6:E448)),"")</f>
        <v/>
      </c>
      <c r="G448" s="35" t="str">
        <f aca="false">IF(A448&lt;&gt;"",IFERROR(F448/MAX($E$6:E448),0),"")</f>
        <v/>
      </c>
    </row>
    <row r="449" customFormat="false" ht="15" hidden="false" customHeight="false" outlineLevel="0" collapsed="false">
      <c r="A449" s="9" t="str">
        <f aca="false">IF('📋 Trade Log'!B447&lt;&gt;"",'📋 Trade Log'!A447,"")</f>
        <v/>
      </c>
      <c r="B449" s="10" t="str">
        <f aca="false">IF('📋 Trade Log'!B447&lt;&gt;"",'📋 Trade Log'!B447,"")</f>
        <v/>
      </c>
      <c r="C449" s="12" t="str">
        <f aca="false">IF('📋 Trade Log'!L447&lt;&gt;"",'📋 Trade Log'!L447,"")</f>
        <v/>
      </c>
      <c r="D449" s="12" t="str">
        <f aca="false">IF(A449&lt;&gt;"",SUM($C$6:C449),"")</f>
        <v/>
      </c>
      <c r="E449" s="12" t="str">
        <f aca="false">IF(A449&lt;&gt;"",B$3+D449,"")</f>
        <v/>
      </c>
      <c r="F449" s="12" t="str">
        <f aca="false">IF(A449&lt;&gt;"",MIN(0,E449-MAX($E$6:E449)),"")</f>
        <v/>
      </c>
      <c r="G449" s="36" t="str">
        <f aca="false">IF(A449&lt;&gt;"",IFERROR(F449/MAX($E$6:E449),0),"")</f>
        <v/>
      </c>
    </row>
    <row r="450" customFormat="false" ht="15" hidden="false" customHeight="false" outlineLevel="0" collapsed="false">
      <c r="A450" s="4" t="str">
        <f aca="false">IF('📋 Trade Log'!B448&lt;&gt;"",'📋 Trade Log'!A448,"")</f>
        <v/>
      </c>
      <c r="B450" s="5" t="str">
        <f aca="false">IF('📋 Trade Log'!B448&lt;&gt;"",'📋 Trade Log'!B448,"")</f>
        <v/>
      </c>
      <c r="C450" s="7" t="str">
        <f aca="false">IF('📋 Trade Log'!L448&lt;&gt;"",'📋 Trade Log'!L448,"")</f>
        <v/>
      </c>
      <c r="D450" s="7" t="str">
        <f aca="false">IF(A450&lt;&gt;"",SUM($C$6:C450),"")</f>
        <v/>
      </c>
      <c r="E450" s="7" t="str">
        <f aca="false">IF(A450&lt;&gt;"",B$3+D450,"")</f>
        <v/>
      </c>
      <c r="F450" s="7" t="str">
        <f aca="false">IF(A450&lt;&gt;"",MIN(0,E450-MAX($E$6:E450)),"")</f>
        <v/>
      </c>
      <c r="G450" s="35" t="str">
        <f aca="false">IF(A450&lt;&gt;"",IFERROR(F450/MAX($E$6:E450),0),"")</f>
        <v/>
      </c>
    </row>
    <row r="451" customFormat="false" ht="15" hidden="false" customHeight="false" outlineLevel="0" collapsed="false">
      <c r="A451" s="9" t="str">
        <f aca="false">IF('📋 Trade Log'!B449&lt;&gt;"",'📋 Trade Log'!A449,"")</f>
        <v/>
      </c>
      <c r="B451" s="10" t="str">
        <f aca="false">IF('📋 Trade Log'!B449&lt;&gt;"",'📋 Trade Log'!B449,"")</f>
        <v/>
      </c>
      <c r="C451" s="12" t="str">
        <f aca="false">IF('📋 Trade Log'!L449&lt;&gt;"",'📋 Trade Log'!L449,"")</f>
        <v/>
      </c>
      <c r="D451" s="12" t="str">
        <f aca="false">IF(A451&lt;&gt;"",SUM($C$6:C451),"")</f>
        <v/>
      </c>
      <c r="E451" s="12" t="str">
        <f aca="false">IF(A451&lt;&gt;"",B$3+D451,"")</f>
        <v/>
      </c>
      <c r="F451" s="12" t="str">
        <f aca="false">IF(A451&lt;&gt;"",MIN(0,E451-MAX($E$6:E451)),"")</f>
        <v/>
      </c>
      <c r="G451" s="36" t="str">
        <f aca="false">IF(A451&lt;&gt;"",IFERROR(F451/MAX($E$6:E451),0),"")</f>
        <v/>
      </c>
    </row>
    <row r="452" customFormat="false" ht="15" hidden="false" customHeight="false" outlineLevel="0" collapsed="false">
      <c r="A452" s="4" t="str">
        <f aca="false">IF('📋 Trade Log'!B450&lt;&gt;"",'📋 Trade Log'!A450,"")</f>
        <v/>
      </c>
      <c r="B452" s="5" t="str">
        <f aca="false">IF('📋 Trade Log'!B450&lt;&gt;"",'📋 Trade Log'!B450,"")</f>
        <v/>
      </c>
      <c r="C452" s="7" t="str">
        <f aca="false">IF('📋 Trade Log'!L450&lt;&gt;"",'📋 Trade Log'!L450,"")</f>
        <v/>
      </c>
      <c r="D452" s="7" t="str">
        <f aca="false">IF(A452&lt;&gt;"",SUM($C$6:C452),"")</f>
        <v/>
      </c>
      <c r="E452" s="7" t="str">
        <f aca="false">IF(A452&lt;&gt;"",B$3+D452,"")</f>
        <v/>
      </c>
      <c r="F452" s="7" t="str">
        <f aca="false">IF(A452&lt;&gt;"",MIN(0,E452-MAX($E$6:E452)),"")</f>
        <v/>
      </c>
      <c r="G452" s="35" t="str">
        <f aca="false">IF(A452&lt;&gt;"",IFERROR(F452/MAX($E$6:E452),0),"")</f>
        <v/>
      </c>
    </row>
    <row r="453" customFormat="false" ht="15" hidden="false" customHeight="false" outlineLevel="0" collapsed="false">
      <c r="A453" s="9" t="str">
        <f aca="false">IF('📋 Trade Log'!B451&lt;&gt;"",'📋 Trade Log'!A451,"")</f>
        <v/>
      </c>
      <c r="B453" s="10" t="str">
        <f aca="false">IF('📋 Trade Log'!B451&lt;&gt;"",'📋 Trade Log'!B451,"")</f>
        <v/>
      </c>
      <c r="C453" s="12" t="str">
        <f aca="false">IF('📋 Trade Log'!L451&lt;&gt;"",'📋 Trade Log'!L451,"")</f>
        <v/>
      </c>
      <c r="D453" s="12" t="str">
        <f aca="false">IF(A453&lt;&gt;"",SUM($C$6:C453),"")</f>
        <v/>
      </c>
      <c r="E453" s="12" t="str">
        <f aca="false">IF(A453&lt;&gt;"",B$3+D453,"")</f>
        <v/>
      </c>
      <c r="F453" s="12" t="str">
        <f aca="false">IF(A453&lt;&gt;"",MIN(0,E453-MAX($E$6:E453)),"")</f>
        <v/>
      </c>
      <c r="G453" s="36" t="str">
        <f aca="false">IF(A453&lt;&gt;"",IFERROR(F453/MAX($E$6:E453),0),"")</f>
        <v/>
      </c>
    </row>
    <row r="454" customFormat="false" ht="15" hidden="false" customHeight="false" outlineLevel="0" collapsed="false">
      <c r="A454" s="4" t="str">
        <f aca="false">IF('📋 Trade Log'!B452&lt;&gt;"",'📋 Trade Log'!A452,"")</f>
        <v/>
      </c>
      <c r="B454" s="5" t="str">
        <f aca="false">IF('📋 Trade Log'!B452&lt;&gt;"",'📋 Trade Log'!B452,"")</f>
        <v/>
      </c>
      <c r="C454" s="7" t="str">
        <f aca="false">IF('📋 Trade Log'!L452&lt;&gt;"",'📋 Trade Log'!L452,"")</f>
        <v/>
      </c>
      <c r="D454" s="7" t="str">
        <f aca="false">IF(A454&lt;&gt;"",SUM($C$6:C454),"")</f>
        <v/>
      </c>
      <c r="E454" s="7" t="str">
        <f aca="false">IF(A454&lt;&gt;"",B$3+D454,"")</f>
        <v/>
      </c>
      <c r="F454" s="7" t="str">
        <f aca="false">IF(A454&lt;&gt;"",MIN(0,E454-MAX($E$6:E454)),"")</f>
        <v/>
      </c>
      <c r="G454" s="35" t="str">
        <f aca="false">IF(A454&lt;&gt;"",IFERROR(F454/MAX($E$6:E454),0),"")</f>
        <v/>
      </c>
    </row>
    <row r="455" customFormat="false" ht="15" hidden="false" customHeight="false" outlineLevel="0" collapsed="false">
      <c r="A455" s="9" t="str">
        <f aca="false">IF('📋 Trade Log'!B453&lt;&gt;"",'📋 Trade Log'!A453,"")</f>
        <v/>
      </c>
      <c r="B455" s="10" t="str">
        <f aca="false">IF('📋 Trade Log'!B453&lt;&gt;"",'📋 Trade Log'!B453,"")</f>
        <v/>
      </c>
      <c r="C455" s="12" t="str">
        <f aca="false">IF('📋 Trade Log'!L453&lt;&gt;"",'📋 Trade Log'!L453,"")</f>
        <v/>
      </c>
      <c r="D455" s="12" t="str">
        <f aca="false">IF(A455&lt;&gt;"",SUM($C$6:C455),"")</f>
        <v/>
      </c>
      <c r="E455" s="12" t="str">
        <f aca="false">IF(A455&lt;&gt;"",B$3+D455,"")</f>
        <v/>
      </c>
      <c r="F455" s="12" t="str">
        <f aca="false">IF(A455&lt;&gt;"",MIN(0,E455-MAX($E$6:E455)),"")</f>
        <v/>
      </c>
      <c r="G455" s="36" t="str">
        <f aca="false">IF(A455&lt;&gt;"",IFERROR(F455/MAX($E$6:E455),0),"")</f>
        <v/>
      </c>
    </row>
    <row r="456" customFormat="false" ht="15" hidden="false" customHeight="false" outlineLevel="0" collapsed="false">
      <c r="A456" s="4" t="str">
        <f aca="false">IF('📋 Trade Log'!B454&lt;&gt;"",'📋 Trade Log'!A454,"")</f>
        <v/>
      </c>
      <c r="B456" s="5" t="str">
        <f aca="false">IF('📋 Trade Log'!B454&lt;&gt;"",'📋 Trade Log'!B454,"")</f>
        <v/>
      </c>
      <c r="C456" s="7" t="str">
        <f aca="false">IF('📋 Trade Log'!L454&lt;&gt;"",'📋 Trade Log'!L454,"")</f>
        <v/>
      </c>
      <c r="D456" s="7" t="str">
        <f aca="false">IF(A456&lt;&gt;"",SUM($C$6:C456),"")</f>
        <v/>
      </c>
      <c r="E456" s="7" t="str">
        <f aca="false">IF(A456&lt;&gt;"",B$3+D456,"")</f>
        <v/>
      </c>
      <c r="F456" s="7" t="str">
        <f aca="false">IF(A456&lt;&gt;"",MIN(0,E456-MAX($E$6:E456)),"")</f>
        <v/>
      </c>
      <c r="G456" s="35" t="str">
        <f aca="false">IF(A456&lt;&gt;"",IFERROR(F456/MAX($E$6:E456),0),"")</f>
        <v/>
      </c>
    </row>
    <row r="457" customFormat="false" ht="15" hidden="false" customHeight="false" outlineLevel="0" collapsed="false">
      <c r="A457" s="9" t="str">
        <f aca="false">IF('📋 Trade Log'!B455&lt;&gt;"",'📋 Trade Log'!A455,"")</f>
        <v/>
      </c>
      <c r="B457" s="10" t="str">
        <f aca="false">IF('📋 Trade Log'!B455&lt;&gt;"",'📋 Trade Log'!B455,"")</f>
        <v/>
      </c>
      <c r="C457" s="12" t="str">
        <f aca="false">IF('📋 Trade Log'!L455&lt;&gt;"",'📋 Trade Log'!L455,"")</f>
        <v/>
      </c>
      <c r="D457" s="12" t="str">
        <f aca="false">IF(A457&lt;&gt;"",SUM($C$6:C457),"")</f>
        <v/>
      </c>
      <c r="E457" s="12" t="str">
        <f aca="false">IF(A457&lt;&gt;"",B$3+D457,"")</f>
        <v/>
      </c>
      <c r="F457" s="12" t="str">
        <f aca="false">IF(A457&lt;&gt;"",MIN(0,E457-MAX($E$6:E457)),"")</f>
        <v/>
      </c>
      <c r="G457" s="36" t="str">
        <f aca="false">IF(A457&lt;&gt;"",IFERROR(F457/MAX($E$6:E457),0),"")</f>
        <v/>
      </c>
    </row>
    <row r="458" customFormat="false" ht="15" hidden="false" customHeight="false" outlineLevel="0" collapsed="false">
      <c r="A458" s="4" t="str">
        <f aca="false">IF('📋 Trade Log'!B456&lt;&gt;"",'📋 Trade Log'!A456,"")</f>
        <v/>
      </c>
      <c r="B458" s="5" t="str">
        <f aca="false">IF('📋 Trade Log'!B456&lt;&gt;"",'📋 Trade Log'!B456,"")</f>
        <v/>
      </c>
      <c r="C458" s="7" t="str">
        <f aca="false">IF('📋 Trade Log'!L456&lt;&gt;"",'📋 Trade Log'!L456,"")</f>
        <v/>
      </c>
      <c r="D458" s="7" t="str">
        <f aca="false">IF(A458&lt;&gt;"",SUM($C$6:C458),"")</f>
        <v/>
      </c>
      <c r="E458" s="7" t="str">
        <f aca="false">IF(A458&lt;&gt;"",B$3+D458,"")</f>
        <v/>
      </c>
      <c r="F458" s="7" t="str">
        <f aca="false">IF(A458&lt;&gt;"",MIN(0,E458-MAX($E$6:E458)),"")</f>
        <v/>
      </c>
      <c r="G458" s="35" t="str">
        <f aca="false">IF(A458&lt;&gt;"",IFERROR(F458/MAX($E$6:E458),0),"")</f>
        <v/>
      </c>
    </row>
    <row r="459" customFormat="false" ht="15" hidden="false" customHeight="false" outlineLevel="0" collapsed="false">
      <c r="A459" s="9" t="str">
        <f aca="false">IF('📋 Trade Log'!B457&lt;&gt;"",'📋 Trade Log'!A457,"")</f>
        <v/>
      </c>
      <c r="B459" s="10" t="str">
        <f aca="false">IF('📋 Trade Log'!B457&lt;&gt;"",'📋 Trade Log'!B457,"")</f>
        <v/>
      </c>
      <c r="C459" s="12" t="str">
        <f aca="false">IF('📋 Trade Log'!L457&lt;&gt;"",'📋 Trade Log'!L457,"")</f>
        <v/>
      </c>
      <c r="D459" s="12" t="str">
        <f aca="false">IF(A459&lt;&gt;"",SUM($C$6:C459),"")</f>
        <v/>
      </c>
      <c r="E459" s="12" t="str">
        <f aca="false">IF(A459&lt;&gt;"",B$3+D459,"")</f>
        <v/>
      </c>
      <c r="F459" s="12" t="str">
        <f aca="false">IF(A459&lt;&gt;"",MIN(0,E459-MAX($E$6:E459)),"")</f>
        <v/>
      </c>
      <c r="G459" s="36" t="str">
        <f aca="false">IF(A459&lt;&gt;"",IFERROR(F459/MAX($E$6:E459),0),"")</f>
        <v/>
      </c>
    </row>
    <row r="460" customFormat="false" ht="15" hidden="false" customHeight="false" outlineLevel="0" collapsed="false">
      <c r="A460" s="4" t="str">
        <f aca="false">IF('📋 Trade Log'!B458&lt;&gt;"",'📋 Trade Log'!A458,"")</f>
        <v/>
      </c>
      <c r="B460" s="5" t="str">
        <f aca="false">IF('📋 Trade Log'!B458&lt;&gt;"",'📋 Trade Log'!B458,"")</f>
        <v/>
      </c>
      <c r="C460" s="7" t="str">
        <f aca="false">IF('📋 Trade Log'!L458&lt;&gt;"",'📋 Trade Log'!L458,"")</f>
        <v/>
      </c>
      <c r="D460" s="7" t="str">
        <f aca="false">IF(A460&lt;&gt;"",SUM($C$6:C460),"")</f>
        <v/>
      </c>
      <c r="E460" s="7" t="str">
        <f aca="false">IF(A460&lt;&gt;"",B$3+D460,"")</f>
        <v/>
      </c>
      <c r="F460" s="7" t="str">
        <f aca="false">IF(A460&lt;&gt;"",MIN(0,E460-MAX($E$6:E460)),"")</f>
        <v/>
      </c>
      <c r="G460" s="35" t="str">
        <f aca="false">IF(A460&lt;&gt;"",IFERROR(F460/MAX($E$6:E460),0),"")</f>
        <v/>
      </c>
    </row>
    <row r="461" customFormat="false" ht="15" hidden="false" customHeight="false" outlineLevel="0" collapsed="false">
      <c r="A461" s="9" t="str">
        <f aca="false">IF('📋 Trade Log'!B459&lt;&gt;"",'📋 Trade Log'!A459,"")</f>
        <v/>
      </c>
      <c r="B461" s="10" t="str">
        <f aca="false">IF('📋 Trade Log'!B459&lt;&gt;"",'📋 Trade Log'!B459,"")</f>
        <v/>
      </c>
      <c r="C461" s="12" t="str">
        <f aca="false">IF('📋 Trade Log'!L459&lt;&gt;"",'📋 Trade Log'!L459,"")</f>
        <v/>
      </c>
      <c r="D461" s="12" t="str">
        <f aca="false">IF(A461&lt;&gt;"",SUM($C$6:C461),"")</f>
        <v/>
      </c>
      <c r="E461" s="12" t="str">
        <f aca="false">IF(A461&lt;&gt;"",B$3+D461,"")</f>
        <v/>
      </c>
      <c r="F461" s="12" t="str">
        <f aca="false">IF(A461&lt;&gt;"",MIN(0,E461-MAX($E$6:E461)),"")</f>
        <v/>
      </c>
      <c r="G461" s="36" t="str">
        <f aca="false">IF(A461&lt;&gt;"",IFERROR(F461/MAX($E$6:E461),0),"")</f>
        <v/>
      </c>
    </row>
    <row r="462" customFormat="false" ht="15" hidden="false" customHeight="false" outlineLevel="0" collapsed="false">
      <c r="A462" s="4" t="str">
        <f aca="false">IF('📋 Trade Log'!B460&lt;&gt;"",'📋 Trade Log'!A460,"")</f>
        <v/>
      </c>
      <c r="B462" s="5" t="str">
        <f aca="false">IF('📋 Trade Log'!B460&lt;&gt;"",'📋 Trade Log'!B460,"")</f>
        <v/>
      </c>
      <c r="C462" s="7" t="str">
        <f aca="false">IF('📋 Trade Log'!L460&lt;&gt;"",'📋 Trade Log'!L460,"")</f>
        <v/>
      </c>
      <c r="D462" s="7" t="str">
        <f aca="false">IF(A462&lt;&gt;"",SUM($C$6:C462),"")</f>
        <v/>
      </c>
      <c r="E462" s="7" t="str">
        <f aca="false">IF(A462&lt;&gt;"",B$3+D462,"")</f>
        <v/>
      </c>
      <c r="F462" s="7" t="str">
        <f aca="false">IF(A462&lt;&gt;"",MIN(0,E462-MAX($E$6:E462)),"")</f>
        <v/>
      </c>
      <c r="G462" s="35" t="str">
        <f aca="false">IF(A462&lt;&gt;"",IFERROR(F462/MAX($E$6:E462),0),"")</f>
        <v/>
      </c>
    </row>
    <row r="463" customFormat="false" ht="15" hidden="false" customHeight="false" outlineLevel="0" collapsed="false">
      <c r="A463" s="9" t="str">
        <f aca="false">IF('📋 Trade Log'!B461&lt;&gt;"",'📋 Trade Log'!A461,"")</f>
        <v/>
      </c>
      <c r="B463" s="10" t="str">
        <f aca="false">IF('📋 Trade Log'!B461&lt;&gt;"",'📋 Trade Log'!B461,"")</f>
        <v/>
      </c>
      <c r="C463" s="12" t="str">
        <f aca="false">IF('📋 Trade Log'!L461&lt;&gt;"",'📋 Trade Log'!L461,"")</f>
        <v/>
      </c>
      <c r="D463" s="12" t="str">
        <f aca="false">IF(A463&lt;&gt;"",SUM($C$6:C463),"")</f>
        <v/>
      </c>
      <c r="E463" s="12" t="str">
        <f aca="false">IF(A463&lt;&gt;"",B$3+D463,"")</f>
        <v/>
      </c>
      <c r="F463" s="12" t="str">
        <f aca="false">IF(A463&lt;&gt;"",MIN(0,E463-MAX($E$6:E463)),"")</f>
        <v/>
      </c>
      <c r="G463" s="36" t="str">
        <f aca="false">IF(A463&lt;&gt;"",IFERROR(F463/MAX($E$6:E463),0),"")</f>
        <v/>
      </c>
    </row>
    <row r="464" customFormat="false" ht="15" hidden="false" customHeight="false" outlineLevel="0" collapsed="false">
      <c r="A464" s="4" t="str">
        <f aca="false">IF('📋 Trade Log'!B462&lt;&gt;"",'📋 Trade Log'!A462,"")</f>
        <v/>
      </c>
      <c r="B464" s="5" t="str">
        <f aca="false">IF('📋 Trade Log'!B462&lt;&gt;"",'📋 Trade Log'!B462,"")</f>
        <v/>
      </c>
      <c r="C464" s="7" t="str">
        <f aca="false">IF('📋 Trade Log'!L462&lt;&gt;"",'📋 Trade Log'!L462,"")</f>
        <v/>
      </c>
      <c r="D464" s="7" t="str">
        <f aca="false">IF(A464&lt;&gt;"",SUM($C$6:C464),"")</f>
        <v/>
      </c>
      <c r="E464" s="7" t="str">
        <f aca="false">IF(A464&lt;&gt;"",B$3+D464,"")</f>
        <v/>
      </c>
      <c r="F464" s="7" t="str">
        <f aca="false">IF(A464&lt;&gt;"",MIN(0,E464-MAX($E$6:E464)),"")</f>
        <v/>
      </c>
      <c r="G464" s="35" t="str">
        <f aca="false">IF(A464&lt;&gt;"",IFERROR(F464/MAX($E$6:E464),0),"")</f>
        <v/>
      </c>
    </row>
    <row r="465" customFormat="false" ht="15" hidden="false" customHeight="false" outlineLevel="0" collapsed="false">
      <c r="A465" s="9" t="str">
        <f aca="false">IF('📋 Trade Log'!B463&lt;&gt;"",'📋 Trade Log'!A463,"")</f>
        <v/>
      </c>
      <c r="B465" s="10" t="str">
        <f aca="false">IF('📋 Trade Log'!B463&lt;&gt;"",'📋 Trade Log'!B463,"")</f>
        <v/>
      </c>
      <c r="C465" s="12" t="str">
        <f aca="false">IF('📋 Trade Log'!L463&lt;&gt;"",'📋 Trade Log'!L463,"")</f>
        <v/>
      </c>
      <c r="D465" s="12" t="str">
        <f aca="false">IF(A465&lt;&gt;"",SUM($C$6:C465),"")</f>
        <v/>
      </c>
      <c r="E465" s="12" t="str">
        <f aca="false">IF(A465&lt;&gt;"",B$3+D465,"")</f>
        <v/>
      </c>
      <c r="F465" s="12" t="str">
        <f aca="false">IF(A465&lt;&gt;"",MIN(0,E465-MAX($E$6:E465)),"")</f>
        <v/>
      </c>
      <c r="G465" s="36" t="str">
        <f aca="false">IF(A465&lt;&gt;"",IFERROR(F465/MAX($E$6:E465),0),"")</f>
        <v/>
      </c>
    </row>
    <row r="466" customFormat="false" ht="15" hidden="false" customHeight="false" outlineLevel="0" collapsed="false">
      <c r="A466" s="4" t="str">
        <f aca="false">IF('📋 Trade Log'!B464&lt;&gt;"",'📋 Trade Log'!A464,"")</f>
        <v/>
      </c>
      <c r="B466" s="5" t="str">
        <f aca="false">IF('📋 Trade Log'!B464&lt;&gt;"",'📋 Trade Log'!B464,"")</f>
        <v/>
      </c>
      <c r="C466" s="7" t="str">
        <f aca="false">IF('📋 Trade Log'!L464&lt;&gt;"",'📋 Trade Log'!L464,"")</f>
        <v/>
      </c>
      <c r="D466" s="7" t="str">
        <f aca="false">IF(A466&lt;&gt;"",SUM($C$6:C466),"")</f>
        <v/>
      </c>
      <c r="E466" s="7" t="str">
        <f aca="false">IF(A466&lt;&gt;"",B$3+D466,"")</f>
        <v/>
      </c>
      <c r="F466" s="7" t="str">
        <f aca="false">IF(A466&lt;&gt;"",MIN(0,E466-MAX($E$6:E466)),"")</f>
        <v/>
      </c>
      <c r="G466" s="35" t="str">
        <f aca="false">IF(A466&lt;&gt;"",IFERROR(F466/MAX($E$6:E466),0),"")</f>
        <v/>
      </c>
    </row>
    <row r="467" customFormat="false" ht="15" hidden="false" customHeight="false" outlineLevel="0" collapsed="false">
      <c r="A467" s="9" t="str">
        <f aca="false">IF('📋 Trade Log'!B465&lt;&gt;"",'📋 Trade Log'!A465,"")</f>
        <v/>
      </c>
      <c r="B467" s="10" t="str">
        <f aca="false">IF('📋 Trade Log'!B465&lt;&gt;"",'📋 Trade Log'!B465,"")</f>
        <v/>
      </c>
      <c r="C467" s="12" t="str">
        <f aca="false">IF('📋 Trade Log'!L465&lt;&gt;"",'📋 Trade Log'!L465,"")</f>
        <v/>
      </c>
      <c r="D467" s="12" t="str">
        <f aca="false">IF(A467&lt;&gt;"",SUM($C$6:C467),"")</f>
        <v/>
      </c>
      <c r="E467" s="12" t="str">
        <f aca="false">IF(A467&lt;&gt;"",B$3+D467,"")</f>
        <v/>
      </c>
      <c r="F467" s="12" t="str">
        <f aca="false">IF(A467&lt;&gt;"",MIN(0,E467-MAX($E$6:E467)),"")</f>
        <v/>
      </c>
      <c r="G467" s="36" t="str">
        <f aca="false">IF(A467&lt;&gt;"",IFERROR(F467/MAX($E$6:E467),0),"")</f>
        <v/>
      </c>
    </row>
    <row r="468" customFormat="false" ht="15" hidden="false" customHeight="false" outlineLevel="0" collapsed="false">
      <c r="A468" s="4" t="str">
        <f aca="false">IF('📋 Trade Log'!B466&lt;&gt;"",'📋 Trade Log'!A466,"")</f>
        <v/>
      </c>
      <c r="B468" s="5" t="str">
        <f aca="false">IF('📋 Trade Log'!B466&lt;&gt;"",'📋 Trade Log'!B466,"")</f>
        <v/>
      </c>
      <c r="C468" s="7" t="str">
        <f aca="false">IF('📋 Trade Log'!L466&lt;&gt;"",'📋 Trade Log'!L466,"")</f>
        <v/>
      </c>
      <c r="D468" s="7" t="str">
        <f aca="false">IF(A468&lt;&gt;"",SUM($C$6:C468),"")</f>
        <v/>
      </c>
      <c r="E468" s="7" t="str">
        <f aca="false">IF(A468&lt;&gt;"",B$3+D468,"")</f>
        <v/>
      </c>
      <c r="F468" s="7" t="str">
        <f aca="false">IF(A468&lt;&gt;"",MIN(0,E468-MAX($E$6:E468)),"")</f>
        <v/>
      </c>
      <c r="G468" s="35" t="str">
        <f aca="false">IF(A468&lt;&gt;"",IFERROR(F468/MAX($E$6:E468),0),"")</f>
        <v/>
      </c>
    </row>
    <row r="469" customFormat="false" ht="15" hidden="false" customHeight="false" outlineLevel="0" collapsed="false">
      <c r="A469" s="9" t="str">
        <f aca="false">IF('📋 Trade Log'!B467&lt;&gt;"",'📋 Trade Log'!A467,"")</f>
        <v/>
      </c>
      <c r="B469" s="10" t="str">
        <f aca="false">IF('📋 Trade Log'!B467&lt;&gt;"",'📋 Trade Log'!B467,"")</f>
        <v/>
      </c>
      <c r="C469" s="12" t="str">
        <f aca="false">IF('📋 Trade Log'!L467&lt;&gt;"",'📋 Trade Log'!L467,"")</f>
        <v/>
      </c>
      <c r="D469" s="12" t="str">
        <f aca="false">IF(A469&lt;&gt;"",SUM($C$6:C469),"")</f>
        <v/>
      </c>
      <c r="E469" s="12" t="str">
        <f aca="false">IF(A469&lt;&gt;"",B$3+D469,"")</f>
        <v/>
      </c>
      <c r="F469" s="12" t="str">
        <f aca="false">IF(A469&lt;&gt;"",MIN(0,E469-MAX($E$6:E469)),"")</f>
        <v/>
      </c>
      <c r="G469" s="36" t="str">
        <f aca="false">IF(A469&lt;&gt;"",IFERROR(F469/MAX($E$6:E469),0),"")</f>
        <v/>
      </c>
    </row>
    <row r="470" customFormat="false" ht="15" hidden="false" customHeight="false" outlineLevel="0" collapsed="false">
      <c r="A470" s="4" t="str">
        <f aca="false">IF('📋 Trade Log'!B468&lt;&gt;"",'📋 Trade Log'!A468,"")</f>
        <v/>
      </c>
      <c r="B470" s="5" t="str">
        <f aca="false">IF('📋 Trade Log'!B468&lt;&gt;"",'📋 Trade Log'!B468,"")</f>
        <v/>
      </c>
      <c r="C470" s="7" t="str">
        <f aca="false">IF('📋 Trade Log'!L468&lt;&gt;"",'📋 Trade Log'!L468,"")</f>
        <v/>
      </c>
      <c r="D470" s="7" t="str">
        <f aca="false">IF(A470&lt;&gt;"",SUM($C$6:C470),"")</f>
        <v/>
      </c>
      <c r="E470" s="7" t="str">
        <f aca="false">IF(A470&lt;&gt;"",B$3+D470,"")</f>
        <v/>
      </c>
      <c r="F470" s="7" t="str">
        <f aca="false">IF(A470&lt;&gt;"",MIN(0,E470-MAX($E$6:E470)),"")</f>
        <v/>
      </c>
      <c r="G470" s="35" t="str">
        <f aca="false">IF(A470&lt;&gt;"",IFERROR(F470/MAX($E$6:E470),0),"")</f>
        <v/>
      </c>
    </row>
    <row r="471" customFormat="false" ht="15" hidden="false" customHeight="false" outlineLevel="0" collapsed="false">
      <c r="A471" s="9" t="str">
        <f aca="false">IF('📋 Trade Log'!B469&lt;&gt;"",'📋 Trade Log'!A469,"")</f>
        <v/>
      </c>
      <c r="B471" s="10" t="str">
        <f aca="false">IF('📋 Trade Log'!B469&lt;&gt;"",'📋 Trade Log'!B469,"")</f>
        <v/>
      </c>
      <c r="C471" s="12" t="str">
        <f aca="false">IF('📋 Trade Log'!L469&lt;&gt;"",'📋 Trade Log'!L469,"")</f>
        <v/>
      </c>
      <c r="D471" s="12" t="str">
        <f aca="false">IF(A471&lt;&gt;"",SUM($C$6:C471),"")</f>
        <v/>
      </c>
      <c r="E471" s="12" t="str">
        <f aca="false">IF(A471&lt;&gt;"",B$3+D471,"")</f>
        <v/>
      </c>
      <c r="F471" s="12" t="str">
        <f aca="false">IF(A471&lt;&gt;"",MIN(0,E471-MAX($E$6:E471)),"")</f>
        <v/>
      </c>
      <c r="G471" s="36" t="str">
        <f aca="false">IF(A471&lt;&gt;"",IFERROR(F471/MAX($E$6:E471),0),"")</f>
        <v/>
      </c>
    </row>
    <row r="472" customFormat="false" ht="15" hidden="false" customHeight="false" outlineLevel="0" collapsed="false">
      <c r="A472" s="4" t="str">
        <f aca="false">IF('📋 Trade Log'!B470&lt;&gt;"",'📋 Trade Log'!A470,"")</f>
        <v/>
      </c>
      <c r="B472" s="5" t="str">
        <f aca="false">IF('📋 Trade Log'!B470&lt;&gt;"",'📋 Trade Log'!B470,"")</f>
        <v/>
      </c>
      <c r="C472" s="7" t="str">
        <f aca="false">IF('📋 Trade Log'!L470&lt;&gt;"",'📋 Trade Log'!L470,"")</f>
        <v/>
      </c>
      <c r="D472" s="7" t="str">
        <f aca="false">IF(A472&lt;&gt;"",SUM($C$6:C472),"")</f>
        <v/>
      </c>
      <c r="E472" s="7" t="str">
        <f aca="false">IF(A472&lt;&gt;"",B$3+D472,"")</f>
        <v/>
      </c>
      <c r="F472" s="7" t="str">
        <f aca="false">IF(A472&lt;&gt;"",MIN(0,E472-MAX($E$6:E472)),"")</f>
        <v/>
      </c>
      <c r="G472" s="35" t="str">
        <f aca="false">IF(A472&lt;&gt;"",IFERROR(F472/MAX($E$6:E472),0),"")</f>
        <v/>
      </c>
    </row>
    <row r="473" customFormat="false" ht="15" hidden="false" customHeight="false" outlineLevel="0" collapsed="false">
      <c r="A473" s="9" t="str">
        <f aca="false">IF('📋 Trade Log'!B471&lt;&gt;"",'📋 Trade Log'!A471,"")</f>
        <v/>
      </c>
      <c r="B473" s="10" t="str">
        <f aca="false">IF('📋 Trade Log'!B471&lt;&gt;"",'📋 Trade Log'!B471,"")</f>
        <v/>
      </c>
      <c r="C473" s="12" t="str">
        <f aca="false">IF('📋 Trade Log'!L471&lt;&gt;"",'📋 Trade Log'!L471,"")</f>
        <v/>
      </c>
      <c r="D473" s="12" t="str">
        <f aca="false">IF(A473&lt;&gt;"",SUM($C$6:C473),"")</f>
        <v/>
      </c>
      <c r="E473" s="12" t="str">
        <f aca="false">IF(A473&lt;&gt;"",B$3+D473,"")</f>
        <v/>
      </c>
      <c r="F473" s="12" t="str">
        <f aca="false">IF(A473&lt;&gt;"",MIN(0,E473-MAX($E$6:E473)),"")</f>
        <v/>
      </c>
      <c r="G473" s="36" t="str">
        <f aca="false">IF(A473&lt;&gt;"",IFERROR(F473/MAX($E$6:E473),0),"")</f>
        <v/>
      </c>
    </row>
    <row r="474" customFormat="false" ht="15" hidden="false" customHeight="false" outlineLevel="0" collapsed="false">
      <c r="A474" s="4" t="str">
        <f aca="false">IF('📋 Trade Log'!B472&lt;&gt;"",'📋 Trade Log'!A472,"")</f>
        <v/>
      </c>
      <c r="B474" s="5" t="str">
        <f aca="false">IF('📋 Trade Log'!B472&lt;&gt;"",'📋 Trade Log'!B472,"")</f>
        <v/>
      </c>
      <c r="C474" s="7" t="str">
        <f aca="false">IF('📋 Trade Log'!L472&lt;&gt;"",'📋 Trade Log'!L472,"")</f>
        <v/>
      </c>
      <c r="D474" s="7" t="str">
        <f aca="false">IF(A474&lt;&gt;"",SUM($C$6:C474),"")</f>
        <v/>
      </c>
      <c r="E474" s="7" t="str">
        <f aca="false">IF(A474&lt;&gt;"",B$3+D474,"")</f>
        <v/>
      </c>
      <c r="F474" s="7" t="str">
        <f aca="false">IF(A474&lt;&gt;"",MIN(0,E474-MAX($E$6:E474)),"")</f>
        <v/>
      </c>
      <c r="G474" s="35" t="str">
        <f aca="false">IF(A474&lt;&gt;"",IFERROR(F474/MAX($E$6:E474),0),"")</f>
        <v/>
      </c>
    </row>
    <row r="475" customFormat="false" ht="15" hidden="false" customHeight="false" outlineLevel="0" collapsed="false">
      <c r="A475" s="9" t="str">
        <f aca="false">IF('📋 Trade Log'!B473&lt;&gt;"",'📋 Trade Log'!A473,"")</f>
        <v/>
      </c>
      <c r="B475" s="10" t="str">
        <f aca="false">IF('📋 Trade Log'!B473&lt;&gt;"",'📋 Trade Log'!B473,"")</f>
        <v/>
      </c>
      <c r="C475" s="12" t="str">
        <f aca="false">IF('📋 Trade Log'!L473&lt;&gt;"",'📋 Trade Log'!L473,"")</f>
        <v/>
      </c>
      <c r="D475" s="12" t="str">
        <f aca="false">IF(A475&lt;&gt;"",SUM($C$6:C475),"")</f>
        <v/>
      </c>
      <c r="E475" s="12" t="str">
        <f aca="false">IF(A475&lt;&gt;"",B$3+D475,"")</f>
        <v/>
      </c>
      <c r="F475" s="12" t="str">
        <f aca="false">IF(A475&lt;&gt;"",MIN(0,E475-MAX($E$6:E475)),"")</f>
        <v/>
      </c>
      <c r="G475" s="36" t="str">
        <f aca="false">IF(A475&lt;&gt;"",IFERROR(F475/MAX($E$6:E475),0),"")</f>
        <v/>
      </c>
    </row>
    <row r="476" customFormat="false" ht="15" hidden="false" customHeight="false" outlineLevel="0" collapsed="false">
      <c r="A476" s="4" t="str">
        <f aca="false">IF('📋 Trade Log'!B474&lt;&gt;"",'📋 Trade Log'!A474,"")</f>
        <v/>
      </c>
      <c r="B476" s="5" t="str">
        <f aca="false">IF('📋 Trade Log'!B474&lt;&gt;"",'📋 Trade Log'!B474,"")</f>
        <v/>
      </c>
      <c r="C476" s="7" t="str">
        <f aca="false">IF('📋 Trade Log'!L474&lt;&gt;"",'📋 Trade Log'!L474,"")</f>
        <v/>
      </c>
      <c r="D476" s="7" t="str">
        <f aca="false">IF(A476&lt;&gt;"",SUM($C$6:C476),"")</f>
        <v/>
      </c>
      <c r="E476" s="7" t="str">
        <f aca="false">IF(A476&lt;&gt;"",B$3+D476,"")</f>
        <v/>
      </c>
      <c r="F476" s="7" t="str">
        <f aca="false">IF(A476&lt;&gt;"",MIN(0,E476-MAX($E$6:E476)),"")</f>
        <v/>
      </c>
      <c r="G476" s="35" t="str">
        <f aca="false">IF(A476&lt;&gt;"",IFERROR(F476/MAX($E$6:E476),0),"")</f>
        <v/>
      </c>
    </row>
    <row r="477" customFormat="false" ht="15" hidden="false" customHeight="false" outlineLevel="0" collapsed="false">
      <c r="A477" s="9" t="str">
        <f aca="false">IF('📋 Trade Log'!B475&lt;&gt;"",'📋 Trade Log'!A475,"")</f>
        <v/>
      </c>
      <c r="B477" s="10" t="str">
        <f aca="false">IF('📋 Trade Log'!B475&lt;&gt;"",'📋 Trade Log'!B475,"")</f>
        <v/>
      </c>
      <c r="C477" s="12" t="str">
        <f aca="false">IF('📋 Trade Log'!L475&lt;&gt;"",'📋 Trade Log'!L475,"")</f>
        <v/>
      </c>
      <c r="D477" s="12" t="str">
        <f aca="false">IF(A477&lt;&gt;"",SUM($C$6:C477),"")</f>
        <v/>
      </c>
      <c r="E477" s="12" t="str">
        <f aca="false">IF(A477&lt;&gt;"",B$3+D477,"")</f>
        <v/>
      </c>
      <c r="F477" s="12" t="str">
        <f aca="false">IF(A477&lt;&gt;"",MIN(0,E477-MAX($E$6:E477)),"")</f>
        <v/>
      </c>
      <c r="G477" s="36" t="str">
        <f aca="false">IF(A477&lt;&gt;"",IFERROR(F477/MAX($E$6:E477),0),"")</f>
        <v/>
      </c>
    </row>
    <row r="478" customFormat="false" ht="15" hidden="false" customHeight="false" outlineLevel="0" collapsed="false">
      <c r="A478" s="4" t="str">
        <f aca="false">IF('📋 Trade Log'!B476&lt;&gt;"",'📋 Trade Log'!A476,"")</f>
        <v/>
      </c>
      <c r="B478" s="5" t="str">
        <f aca="false">IF('📋 Trade Log'!B476&lt;&gt;"",'📋 Trade Log'!B476,"")</f>
        <v/>
      </c>
      <c r="C478" s="7" t="str">
        <f aca="false">IF('📋 Trade Log'!L476&lt;&gt;"",'📋 Trade Log'!L476,"")</f>
        <v/>
      </c>
      <c r="D478" s="7" t="str">
        <f aca="false">IF(A478&lt;&gt;"",SUM($C$6:C478),"")</f>
        <v/>
      </c>
      <c r="E478" s="7" t="str">
        <f aca="false">IF(A478&lt;&gt;"",B$3+D478,"")</f>
        <v/>
      </c>
      <c r="F478" s="7" t="str">
        <f aca="false">IF(A478&lt;&gt;"",MIN(0,E478-MAX($E$6:E478)),"")</f>
        <v/>
      </c>
      <c r="G478" s="35" t="str">
        <f aca="false">IF(A478&lt;&gt;"",IFERROR(F478/MAX($E$6:E478),0),"")</f>
        <v/>
      </c>
    </row>
    <row r="479" customFormat="false" ht="15" hidden="false" customHeight="false" outlineLevel="0" collapsed="false">
      <c r="A479" s="9" t="str">
        <f aca="false">IF('📋 Trade Log'!B477&lt;&gt;"",'📋 Trade Log'!A477,"")</f>
        <v/>
      </c>
      <c r="B479" s="10" t="str">
        <f aca="false">IF('📋 Trade Log'!B477&lt;&gt;"",'📋 Trade Log'!B477,"")</f>
        <v/>
      </c>
      <c r="C479" s="12" t="str">
        <f aca="false">IF('📋 Trade Log'!L477&lt;&gt;"",'📋 Trade Log'!L477,"")</f>
        <v/>
      </c>
      <c r="D479" s="12" t="str">
        <f aca="false">IF(A479&lt;&gt;"",SUM($C$6:C479),"")</f>
        <v/>
      </c>
      <c r="E479" s="12" t="str">
        <f aca="false">IF(A479&lt;&gt;"",B$3+D479,"")</f>
        <v/>
      </c>
      <c r="F479" s="12" t="str">
        <f aca="false">IF(A479&lt;&gt;"",MIN(0,E479-MAX($E$6:E479)),"")</f>
        <v/>
      </c>
      <c r="G479" s="36" t="str">
        <f aca="false">IF(A479&lt;&gt;"",IFERROR(F479/MAX($E$6:E479),0),"")</f>
        <v/>
      </c>
    </row>
    <row r="480" customFormat="false" ht="15" hidden="false" customHeight="false" outlineLevel="0" collapsed="false">
      <c r="A480" s="4" t="str">
        <f aca="false">IF('📋 Trade Log'!B478&lt;&gt;"",'📋 Trade Log'!A478,"")</f>
        <v/>
      </c>
      <c r="B480" s="5" t="str">
        <f aca="false">IF('📋 Trade Log'!B478&lt;&gt;"",'📋 Trade Log'!B478,"")</f>
        <v/>
      </c>
      <c r="C480" s="7" t="str">
        <f aca="false">IF('📋 Trade Log'!L478&lt;&gt;"",'📋 Trade Log'!L478,"")</f>
        <v/>
      </c>
      <c r="D480" s="7" t="str">
        <f aca="false">IF(A480&lt;&gt;"",SUM($C$6:C480),"")</f>
        <v/>
      </c>
      <c r="E480" s="7" t="str">
        <f aca="false">IF(A480&lt;&gt;"",B$3+D480,"")</f>
        <v/>
      </c>
      <c r="F480" s="7" t="str">
        <f aca="false">IF(A480&lt;&gt;"",MIN(0,E480-MAX($E$6:E480)),"")</f>
        <v/>
      </c>
      <c r="G480" s="35" t="str">
        <f aca="false">IF(A480&lt;&gt;"",IFERROR(F480/MAX($E$6:E480),0),"")</f>
        <v/>
      </c>
    </row>
    <row r="481" customFormat="false" ht="15" hidden="false" customHeight="false" outlineLevel="0" collapsed="false">
      <c r="A481" s="9" t="str">
        <f aca="false">IF('📋 Trade Log'!B479&lt;&gt;"",'📋 Trade Log'!A479,"")</f>
        <v/>
      </c>
      <c r="B481" s="10" t="str">
        <f aca="false">IF('📋 Trade Log'!B479&lt;&gt;"",'📋 Trade Log'!B479,"")</f>
        <v/>
      </c>
      <c r="C481" s="12" t="str">
        <f aca="false">IF('📋 Trade Log'!L479&lt;&gt;"",'📋 Trade Log'!L479,"")</f>
        <v/>
      </c>
      <c r="D481" s="12" t="str">
        <f aca="false">IF(A481&lt;&gt;"",SUM($C$6:C481),"")</f>
        <v/>
      </c>
      <c r="E481" s="12" t="str">
        <f aca="false">IF(A481&lt;&gt;"",B$3+D481,"")</f>
        <v/>
      </c>
      <c r="F481" s="12" t="str">
        <f aca="false">IF(A481&lt;&gt;"",MIN(0,E481-MAX($E$6:E481)),"")</f>
        <v/>
      </c>
      <c r="G481" s="36" t="str">
        <f aca="false">IF(A481&lt;&gt;"",IFERROR(F481/MAX($E$6:E481),0),"")</f>
        <v/>
      </c>
    </row>
    <row r="482" customFormat="false" ht="15" hidden="false" customHeight="false" outlineLevel="0" collapsed="false">
      <c r="A482" s="4" t="str">
        <f aca="false">IF('📋 Trade Log'!B480&lt;&gt;"",'📋 Trade Log'!A480,"")</f>
        <v/>
      </c>
      <c r="B482" s="5" t="str">
        <f aca="false">IF('📋 Trade Log'!B480&lt;&gt;"",'📋 Trade Log'!B480,"")</f>
        <v/>
      </c>
      <c r="C482" s="7" t="str">
        <f aca="false">IF('📋 Trade Log'!L480&lt;&gt;"",'📋 Trade Log'!L480,"")</f>
        <v/>
      </c>
      <c r="D482" s="7" t="str">
        <f aca="false">IF(A482&lt;&gt;"",SUM($C$6:C482),"")</f>
        <v/>
      </c>
      <c r="E482" s="7" t="str">
        <f aca="false">IF(A482&lt;&gt;"",B$3+D482,"")</f>
        <v/>
      </c>
      <c r="F482" s="7" t="str">
        <f aca="false">IF(A482&lt;&gt;"",MIN(0,E482-MAX($E$6:E482)),"")</f>
        <v/>
      </c>
      <c r="G482" s="35" t="str">
        <f aca="false">IF(A482&lt;&gt;"",IFERROR(F482/MAX($E$6:E482),0),"")</f>
        <v/>
      </c>
    </row>
    <row r="483" customFormat="false" ht="15" hidden="false" customHeight="false" outlineLevel="0" collapsed="false">
      <c r="A483" s="9" t="str">
        <f aca="false">IF('📋 Trade Log'!B481&lt;&gt;"",'📋 Trade Log'!A481,"")</f>
        <v/>
      </c>
      <c r="B483" s="10" t="str">
        <f aca="false">IF('📋 Trade Log'!B481&lt;&gt;"",'📋 Trade Log'!B481,"")</f>
        <v/>
      </c>
      <c r="C483" s="12" t="str">
        <f aca="false">IF('📋 Trade Log'!L481&lt;&gt;"",'📋 Trade Log'!L481,"")</f>
        <v/>
      </c>
      <c r="D483" s="12" t="str">
        <f aca="false">IF(A483&lt;&gt;"",SUM($C$6:C483),"")</f>
        <v/>
      </c>
      <c r="E483" s="12" t="str">
        <f aca="false">IF(A483&lt;&gt;"",B$3+D483,"")</f>
        <v/>
      </c>
      <c r="F483" s="12" t="str">
        <f aca="false">IF(A483&lt;&gt;"",MIN(0,E483-MAX($E$6:E483)),"")</f>
        <v/>
      </c>
      <c r="G483" s="36" t="str">
        <f aca="false">IF(A483&lt;&gt;"",IFERROR(F483/MAX($E$6:E483),0),"")</f>
        <v/>
      </c>
    </row>
    <row r="484" customFormat="false" ht="15" hidden="false" customHeight="false" outlineLevel="0" collapsed="false">
      <c r="A484" s="4" t="str">
        <f aca="false">IF('📋 Trade Log'!B482&lt;&gt;"",'📋 Trade Log'!A482,"")</f>
        <v/>
      </c>
      <c r="B484" s="5" t="str">
        <f aca="false">IF('📋 Trade Log'!B482&lt;&gt;"",'📋 Trade Log'!B482,"")</f>
        <v/>
      </c>
      <c r="C484" s="7" t="str">
        <f aca="false">IF('📋 Trade Log'!L482&lt;&gt;"",'📋 Trade Log'!L482,"")</f>
        <v/>
      </c>
      <c r="D484" s="7" t="str">
        <f aca="false">IF(A484&lt;&gt;"",SUM($C$6:C484),"")</f>
        <v/>
      </c>
      <c r="E484" s="7" t="str">
        <f aca="false">IF(A484&lt;&gt;"",B$3+D484,"")</f>
        <v/>
      </c>
      <c r="F484" s="7" t="str">
        <f aca="false">IF(A484&lt;&gt;"",MIN(0,E484-MAX($E$6:E484)),"")</f>
        <v/>
      </c>
      <c r="G484" s="35" t="str">
        <f aca="false">IF(A484&lt;&gt;"",IFERROR(F484/MAX($E$6:E484),0),"")</f>
        <v/>
      </c>
    </row>
    <row r="485" customFormat="false" ht="15" hidden="false" customHeight="false" outlineLevel="0" collapsed="false">
      <c r="A485" s="9" t="str">
        <f aca="false">IF('📋 Trade Log'!B483&lt;&gt;"",'📋 Trade Log'!A483,"")</f>
        <v/>
      </c>
      <c r="B485" s="10" t="str">
        <f aca="false">IF('📋 Trade Log'!B483&lt;&gt;"",'📋 Trade Log'!B483,"")</f>
        <v/>
      </c>
      <c r="C485" s="12" t="str">
        <f aca="false">IF('📋 Trade Log'!L483&lt;&gt;"",'📋 Trade Log'!L483,"")</f>
        <v/>
      </c>
      <c r="D485" s="12" t="str">
        <f aca="false">IF(A485&lt;&gt;"",SUM($C$6:C485),"")</f>
        <v/>
      </c>
      <c r="E485" s="12" t="str">
        <f aca="false">IF(A485&lt;&gt;"",B$3+D485,"")</f>
        <v/>
      </c>
      <c r="F485" s="12" t="str">
        <f aca="false">IF(A485&lt;&gt;"",MIN(0,E485-MAX($E$6:E485)),"")</f>
        <v/>
      </c>
      <c r="G485" s="36" t="str">
        <f aca="false">IF(A485&lt;&gt;"",IFERROR(F485/MAX($E$6:E485),0),"")</f>
        <v/>
      </c>
    </row>
    <row r="486" customFormat="false" ht="15" hidden="false" customHeight="false" outlineLevel="0" collapsed="false">
      <c r="A486" s="4" t="str">
        <f aca="false">IF('📋 Trade Log'!B484&lt;&gt;"",'📋 Trade Log'!A484,"")</f>
        <v/>
      </c>
      <c r="B486" s="5" t="str">
        <f aca="false">IF('📋 Trade Log'!B484&lt;&gt;"",'📋 Trade Log'!B484,"")</f>
        <v/>
      </c>
      <c r="C486" s="7" t="str">
        <f aca="false">IF('📋 Trade Log'!L484&lt;&gt;"",'📋 Trade Log'!L484,"")</f>
        <v/>
      </c>
      <c r="D486" s="7" t="str">
        <f aca="false">IF(A486&lt;&gt;"",SUM($C$6:C486),"")</f>
        <v/>
      </c>
      <c r="E486" s="7" t="str">
        <f aca="false">IF(A486&lt;&gt;"",B$3+D486,"")</f>
        <v/>
      </c>
      <c r="F486" s="7" t="str">
        <f aca="false">IF(A486&lt;&gt;"",MIN(0,E486-MAX($E$6:E486)),"")</f>
        <v/>
      </c>
      <c r="G486" s="35" t="str">
        <f aca="false">IF(A486&lt;&gt;"",IFERROR(F486/MAX($E$6:E486),0),"")</f>
        <v/>
      </c>
    </row>
    <row r="487" customFormat="false" ht="15" hidden="false" customHeight="false" outlineLevel="0" collapsed="false">
      <c r="A487" s="9" t="str">
        <f aca="false">IF('📋 Trade Log'!B485&lt;&gt;"",'📋 Trade Log'!A485,"")</f>
        <v/>
      </c>
      <c r="B487" s="10" t="str">
        <f aca="false">IF('📋 Trade Log'!B485&lt;&gt;"",'📋 Trade Log'!B485,"")</f>
        <v/>
      </c>
      <c r="C487" s="12" t="str">
        <f aca="false">IF('📋 Trade Log'!L485&lt;&gt;"",'📋 Trade Log'!L485,"")</f>
        <v/>
      </c>
      <c r="D487" s="12" t="str">
        <f aca="false">IF(A487&lt;&gt;"",SUM($C$6:C487),"")</f>
        <v/>
      </c>
      <c r="E487" s="12" t="str">
        <f aca="false">IF(A487&lt;&gt;"",B$3+D487,"")</f>
        <v/>
      </c>
      <c r="F487" s="12" t="str">
        <f aca="false">IF(A487&lt;&gt;"",MIN(0,E487-MAX($E$6:E487)),"")</f>
        <v/>
      </c>
      <c r="G487" s="36" t="str">
        <f aca="false">IF(A487&lt;&gt;"",IFERROR(F487/MAX($E$6:E487),0),"")</f>
        <v/>
      </c>
    </row>
    <row r="488" customFormat="false" ht="15" hidden="false" customHeight="false" outlineLevel="0" collapsed="false">
      <c r="A488" s="4" t="str">
        <f aca="false">IF('📋 Trade Log'!B486&lt;&gt;"",'📋 Trade Log'!A486,"")</f>
        <v/>
      </c>
      <c r="B488" s="5" t="str">
        <f aca="false">IF('📋 Trade Log'!B486&lt;&gt;"",'📋 Trade Log'!B486,"")</f>
        <v/>
      </c>
      <c r="C488" s="7" t="str">
        <f aca="false">IF('📋 Trade Log'!L486&lt;&gt;"",'📋 Trade Log'!L486,"")</f>
        <v/>
      </c>
      <c r="D488" s="7" t="str">
        <f aca="false">IF(A488&lt;&gt;"",SUM($C$6:C488),"")</f>
        <v/>
      </c>
      <c r="E488" s="7" t="str">
        <f aca="false">IF(A488&lt;&gt;"",B$3+D488,"")</f>
        <v/>
      </c>
      <c r="F488" s="7" t="str">
        <f aca="false">IF(A488&lt;&gt;"",MIN(0,E488-MAX($E$6:E488)),"")</f>
        <v/>
      </c>
      <c r="G488" s="35" t="str">
        <f aca="false">IF(A488&lt;&gt;"",IFERROR(F488/MAX($E$6:E488),0),"")</f>
        <v/>
      </c>
    </row>
    <row r="489" customFormat="false" ht="15" hidden="false" customHeight="false" outlineLevel="0" collapsed="false">
      <c r="A489" s="9" t="str">
        <f aca="false">IF('📋 Trade Log'!B487&lt;&gt;"",'📋 Trade Log'!A487,"")</f>
        <v/>
      </c>
      <c r="B489" s="10" t="str">
        <f aca="false">IF('📋 Trade Log'!B487&lt;&gt;"",'📋 Trade Log'!B487,"")</f>
        <v/>
      </c>
      <c r="C489" s="12" t="str">
        <f aca="false">IF('📋 Trade Log'!L487&lt;&gt;"",'📋 Trade Log'!L487,"")</f>
        <v/>
      </c>
      <c r="D489" s="12" t="str">
        <f aca="false">IF(A489&lt;&gt;"",SUM($C$6:C489),"")</f>
        <v/>
      </c>
      <c r="E489" s="12" t="str">
        <f aca="false">IF(A489&lt;&gt;"",B$3+D489,"")</f>
        <v/>
      </c>
      <c r="F489" s="12" t="str">
        <f aca="false">IF(A489&lt;&gt;"",MIN(0,E489-MAX($E$6:E489)),"")</f>
        <v/>
      </c>
      <c r="G489" s="36" t="str">
        <f aca="false">IF(A489&lt;&gt;"",IFERROR(F489/MAX($E$6:E489),0),"")</f>
        <v/>
      </c>
    </row>
    <row r="490" customFormat="false" ht="15" hidden="false" customHeight="false" outlineLevel="0" collapsed="false">
      <c r="A490" s="4" t="str">
        <f aca="false">IF('📋 Trade Log'!B488&lt;&gt;"",'📋 Trade Log'!A488,"")</f>
        <v/>
      </c>
      <c r="B490" s="5" t="str">
        <f aca="false">IF('📋 Trade Log'!B488&lt;&gt;"",'📋 Trade Log'!B488,"")</f>
        <v/>
      </c>
      <c r="C490" s="7" t="str">
        <f aca="false">IF('📋 Trade Log'!L488&lt;&gt;"",'📋 Trade Log'!L488,"")</f>
        <v/>
      </c>
      <c r="D490" s="7" t="str">
        <f aca="false">IF(A490&lt;&gt;"",SUM($C$6:C490),"")</f>
        <v/>
      </c>
      <c r="E490" s="7" t="str">
        <f aca="false">IF(A490&lt;&gt;"",B$3+D490,"")</f>
        <v/>
      </c>
      <c r="F490" s="7" t="str">
        <f aca="false">IF(A490&lt;&gt;"",MIN(0,E490-MAX($E$6:E490)),"")</f>
        <v/>
      </c>
      <c r="G490" s="35" t="str">
        <f aca="false">IF(A490&lt;&gt;"",IFERROR(F490/MAX($E$6:E490),0),"")</f>
        <v/>
      </c>
    </row>
    <row r="491" customFormat="false" ht="15" hidden="false" customHeight="false" outlineLevel="0" collapsed="false">
      <c r="A491" s="9" t="str">
        <f aca="false">IF('📋 Trade Log'!B489&lt;&gt;"",'📋 Trade Log'!A489,"")</f>
        <v/>
      </c>
      <c r="B491" s="10" t="str">
        <f aca="false">IF('📋 Trade Log'!B489&lt;&gt;"",'📋 Trade Log'!B489,"")</f>
        <v/>
      </c>
      <c r="C491" s="12" t="str">
        <f aca="false">IF('📋 Trade Log'!L489&lt;&gt;"",'📋 Trade Log'!L489,"")</f>
        <v/>
      </c>
      <c r="D491" s="12" t="str">
        <f aca="false">IF(A491&lt;&gt;"",SUM($C$6:C491),"")</f>
        <v/>
      </c>
      <c r="E491" s="12" t="str">
        <f aca="false">IF(A491&lt;&gt;"",B$3+D491,"")</f>
        <v/>
      </c>
      <c r="F491" s="12" t="str">
        <f aca="false">IF(A491&lt;&gt;"",MIN(0,E491-MAX($E$6:E491)),"")</f>
        <v/>
      </c>
      <c r="G491" s="36" t="str">
        <f aca="false">IF(A491&lt;&gt;"",IFERROR(F491/MAX($E$6:E491),0),"")</f>
        <v/>
      </c>
    </row>
    <row r="492" customFormat="false" ht="15" hidden="false" customHeight="false" outlineLevel="0" collapsed="false">
      <c r="A492" s="4" t="str">
        <f aca="false">IF('📋 Trade Log'!B490&lt;&gt;"",'📋 Trade Log'!A490,"")</f>
        <v/>
      </c>
      <c r="B492" s="5" t="str">
        <f aca="false">IF('📋 Trade Log'!B490&lt;&gt;"",'📋 Trade Log'!B490,"")</f>
        <v/>
      </c>
      <c r="C492" s="7" t="str">
        <f aca="false">IF('📋 Trade Log'!L490&lt;&gt;"",'📋 Trade Log'!L490,"")</f>
        <v/>
      </c>
      <c r="D492" s="7" t="str">
        <f aca="false">IF(A492&lt;&gt;"",SUM($C$6:C492),"")</f>
        <v/>
      </c>
      <c r="E492" s="7" t="str">
        <f aca="false">IF(A492&lt;&gt;"",B$3+D492,"")</f>
        <v/>
      </c>
      <c r="F492" s="7" t="str">
        <f aca="false">IF(A492&lt;&gt;"",MIN(0,E492-MAX($E$6:E492)),"")</f>
        <v/>
      </c>
      <c r="G492" s="35" t="str">
        <f aca="false">IF(A492&lt;&gt;"",IFERROR(F492/MAX($E$6:E492),0),"")</f>
        <v/>
      </c>
    </row>
    <row r="493" customFormat="false" ht="15" hidden="false" customHeight="false" outlineLevel="0" collapsed="false">
      <c r="A493" s="9" t="str">
        <f aca="false">IF('📋 Trade Log'!B491&lt;&gt;"",'📋 Trade Log'!A491,"")</f>
        <v/>
      </c>
      <c r="B493" s="10" t="str">
        <f aca="false">IF('📋 Trade Log'!B491&lt;&gt;"",'📋 Trade Log'!B491,"")</f>
        <v/>
      </c>
      <c r="C493" s="12" t="str">
        <f aca="false">IF('📋 Trade Log'!L491&lt;&gt;"",'📋 Trade Log'!L491,"")</f>
        <v/>
      </c>
      <c r="D493" s="12" t="str">
        <f aca="false">IF(A493&lt;&gt;"",SUM($C$6:C493),"")</f>
        <v/>
      </c>
      <c r="E493" s="12" t="str">
        <f aca="false">IF(A493&lt;&gt;"",B$3+D493,"")</f>
        <v/>
      </c>
      <c r="F493" s="12" t="str">
        <f aca="false">IF(A493&lt;&gt;"",MIN(0,E493-MAX($E$6:E493)),"")</f>
        <v/>
      </c>
      <c r="G493" s="36" t="str">
        <f aca="false">IF(A493&lt;&gt;"",IFERROR(F493/MAX($E$6:E493),0),"")</f>
        <v/>
      </c>
    </row>
    <row r="494" customFormat="false" ht="15" hidden="false" customHeight="false" outlineLevel="0" collapsed="false">
      <c r="A494" s="4" t="str">
        <f aca="false">IF('📋 Trade Log'!B492&lt;&gt;"",'📋 Trade Log'!A492,"")</f>
        <v/>
      </c>
      <c r="B494" s="5" t="str">
        <f aca="false">IF('📋 Trade Log'!B492&lt;&gt;"",'📋 Trade Log'!B492,"")</f>
        <v/>
      </c>
      <c r="C494" s="7" t="str">
        <f aca="false">IF('📋 Trade Log'!L492&lt;&gt;"",'📋 Trade Log'!L492,"")</f>
        <v/>
      </c>
      <c r="D494" s="7" t="str">
        <f aca="false">IF(A494&lt;&gt;"",SUM($C$6:C494),"")</f>
        <v/>
      </c>
      <c r="E494" s="7" t="str">
        <f aca="false">IF(A494&lt;&gt;"",B$3+D494,"")</f>
        <v/>
      </c>
      <c r="F494" s="7" t="str">
        <f aca="false">IF(A494&lt;&gt;"",MIN(0,E494-MAX($E$6:E494)),"")</f>
        <v/>
      </c>
      <c r="G494" s="35" t="str">
        <f aca="false">IF(A494&lt;&gt;"",IFERROR(F494/MAX($E$6:E494),0),"")</f>
        <v/>
      </c>
    </row>
    <row r="495" customFormat="false" ht="15" hidden="false" customHeight="false" outlineLevel="0" collapsed="false">
      <c r="A495" s="9" t="str">
        <f aca="false">IF('📋 Trade Log'!B493&lt;&gt;"",'📋 Trade Log'!A493,"")</f>
        <v/>
      </c>
      <c r="B495" s="10" t="str">
        <f aca="false">IF('📋 Trade Log'!B493&lt;&gt;"",'📋 Trade Log'!B493,"")</f>
        <v/>
      </c>
      <c r="C495" s="12" t="str">
        <f aca="false">IF('📋 Trade Log'!L493&lt;&gt;"",'📋 Trade Log'!L493,"")</f>
        <v/>
      </c>
      <c r="D495" s="12" t="str">
        <f aca="false">IF(A495&lt;&gt;"",SUM($C$6:C495),"")</f>
        <v/>
      </c>
      <c r="E495" s="12" t="str">
        <f aca="false">IF(A495&lt;&gt;"",B$3+D495,"")</f>
        <v/>
      </c>
      <c r="F495" s="12" t="str">
        <f aca="false">IF(A495&lt;&gt;"",MIN(0,E495-MAX($E$6:E495)),"")</f>
        <v/>
      </c>
      <c r="G495" s="36" t="str">
        <f aca="false">IF(A495&lt;&gt;"",IFERROR(F495/MAX($E$6:E495),0),"")</f>
        <v/>
      </c>
    </row>
    <row r="496" customFormat="false" ht="15" hidden="false" customHeight="false" outlineLevel="0" collapsed="false">
      <c r="A496" s="4" t="str">
        <f aca="false">IF('📋 Trade Log'!B494&lt;&gt;"",'📋 Trade Log'!A494,"")</f>
        <v/>
      </c>
      <c r="B496" s="5" t="str">
        <f aca="false">IF('📋 Trade Log'!B494&lt;&gt;"",'📋 Trade Log'!B494,"")</f>
        <v/>
      </c>
      <c r="C496" s="7" t="str">
        <f aca="false">IF('📋 Trade Log'!L494&lt;&gt;"",'📋 Trade Log'!L494,"")</f>
        <v/>
      </c>
      <c r="D496" s="7" t="str">
        <f aca="false">IF(A496&lt;&gt;"",SUM($C$6:C496),"")</f>
        <v/>
      </c>
      <c r="E496" s="7" t="str">
        <f aca="false">IF(A496&lt;&gt;"",B$3+D496,"")</f>
        <v/>
      </c>
      <c r="F496" s="7" t="str">
        <f aca="false">IF(A496&lt;&gt;"",MIN(0,E496-MAX($E$6:E496)),"")</f>
        <v/>
      </c>
      <c r="G496" s="35" t="str">
        <f aca="false">IF(A496&lt;&gt;"",IFERROR(F496/MAX($E$6:E496),0),"")</f>
        <v/>
      </c>
    </row>
    <row r="497" customFormat="false" ht="15" hidden="false" customHeight="false" outlineLevel="0" collapsed="false">
      <c r="A497" s="9" t="str">
        <f aca="false">IF('📋 Trade Log'!B495&lt;&gt;"",'📋 Trade Log'!A495,"")</f>
        <v/>
      </c>
      <c r="B497" s="10" t="str">
        <f aca="false">IF('📋 Trade Log'!B495&lt;&gt;"",'📋 Trade Log'!B495,"")</f>
        <v/>
      </c>
      <c r="C497" s="12" t="str">
        <f aca="false">IF('📋 Trade Log'!L495&lt;&gt;"",'📋 Trade Log'!L495,"")</f>
        <v/>
      </c>
      <c r="D497" s="12" t="str">
        <f aca="false">IF(A497&lt;&gt;"",SUM($C$6:C497),"")</f>
        <v/>
      </c>
      <c r="E497" s="12" t="str">
        <f aca="false">IF(A497&lt;&gt;"",B$3+D497,"")</f>
        <v/>
      </c>
      <c r="F497" s="12" t="str">
        <f aca="false">IF(A497&lt;&gt;"",MIN(0,E497-MAX($E$6:E497)),"")</f>
        <v/>
      </c>
      <c r="G497" s="36" t="str">
        <f aca="false">IF(A497&lt;&gt;"",IFERROR(F497/MAX($E$6:E497),0),"")</f>
        <v/>
      </c>
    </row>
    <row r="498" customFormat="false" ht="15" hidden="false" customHeight="false" outlineLevel="0" collapsed="false">
      <c r="A498" s="4" t="str">
        <f aca="false">IF('📋 Trade Log'!B496&lt;&gt;"",'📋 Trade Log'!A496,"")</f>
        <v/>
      </c>
      <c r="B498" s="5" t="str">
        <f aca="false">IF('📋 Trade Log'!B496&lt;&gt;"",'📋 Trade Log'!B496,"")</f>
        <v/>
      </c>
      <c r="C498" s="7" t="str">
        <f aca="false">IF('📋 Trade Log'!L496&lt;&gt;"",'📋 Trade Log'!L496,"")</f>
        <v/>
      </c>
      <c r="D498" s="7" t="str">
        <f aca="false">IF(A498&lt;&gt;"",SUM($C$6:C498),"")</f>
        <v/>
      </c>
      <c r="E498" s="7" t="str">
        <f aca="false">IF(A498&lt;&gt;"",B$3+D498,"")</f>
        <v/>
      </c>
      <c r="F498" s="7" t="str">
        <f aca="false">IF(A498&lt;&gt;"",MIN(0,E498-MAX($E$6:E498)),"")</f>
        <v/>
      </c>
      <c r="G498" s="35" t="str">
        <f aca="false">IF(A498&lt;&gt;"",IFERROR(F498/MAX($E$6:E498),0),"")</f>
        <v/>
      </c>
    </row>
    <row r="499" customFormat="false" ht="15" hidden="false" customHeight="false" outlineLevel="0" collapsed="false">
      <c r="A499" s="9" t="str">
        <f aca="false">IF('📋 Trade Log'!B497&lt;&gt;"",'📋 Trade Log'!A497,"")</f>
        <v/>
      </c>
      <c r="B499" s="10" t="str">
        <f aca="false">IF('📋 Trade Log'!B497&lt;&gt;"",'📋 Trade Log'!B497,"")</f>
        <v/>
      </c>
      <c r="C499" s="12" t="str">
        <f aca="false">IF('📋 Trade Log'!L497&lt;&gt;"",'📋 Trade Log'!L497,"")</f>
        <v/>
      </c>
      <c r="D499" s="12" t="str">
        <f aca="false">IF(A499&lt;&gt;"",SUM($C$6:C499),"")</f>
        <v/>
      </c>
      <c r="E499" s="12" t="str">
        <f aca="false">IF(A499&lt;&gt;"",B$3+D499,"")</f>
        <v/>
      </c>
      <c r="F499" s="12" t="str">
        <f aca="false">IF(A499&lt;&gt;"",MIN(0,E499-MAX($E$6:E499)),"")</f>
        <v/>
      </c>
      <c r="G499" s="36" t="str">
        <f aca="false">IF(A499&lt;&gt;"",IFERROR(F499/MAX($E$6:E499),0),"")</f>
        <v/>
      </c>
    </row>
    <row r="500" customFormat="false" ht="15" hidden="false" customHeight="false" outlineLevel="0" collapsed="false">
      <c r="A500" s="4" t="str">
        <f aca="false">IF('📋 Trade Log'!B498&lt;&gt;"",'📋 Trade Log'!A498,"")</f>
        <v/>
      </c>
      <c r="B500" s="5" t="str">
        <f aca="false">IF('📋 Trade Log'!B498&lt;&gt;"",'📋 Trade Log'!B498,"")</f>
        <v/>
      </c>
      <c r="C500" s="7" t="str">
        <f aca="false">IF('📋 Trade Log'!L498&lt;&gt;"",'📋 Trade Log'!L498,"")</f>
        <v/>
      </c>
      <c r="D500" s="7" t="str">
        <f aca="false">IF(A500&lt;&gt;"",SUM($C$6:C500),"")</f>
        <v/>
      </c>
      <c r="E500" s="7" t="str">
        <f aca="false">IF(A500&lt;&gt;"",B$3+D500,"")</f>
        <v/>
      </c>
      <c r="F500" s="7" t="str">
        <f aca="false">IF(A500&lt;&gt;"",MIN(0,E500-MAX($E$6:E500)),"")</f>
        <v/>
      </c>
      <c r="G500" s="35" t="str">
        <f aca="false">IF(A500&lt;&gt;"",IFERROR(F500/MAX($E$6:E500),0),"")</f>
        <v/>
      </c>
    </row>
    <row r="501" customFormat="false" ht="15" hidden="false" customHeight="false" outlineLevel="0" collapsed="false">
      <c r="A501" s="9" t="str">
        <f aca="false">IF('📋 Trade Log'!B499&lt;&gt;"",'📋 Trade Log'!A499,"")</f>
        <v/>
      </c>
      <c r="B501" s="10" t="str">
        <f aca="false">IF('📋 Trade Log'!B499&lt;&gt;"",'📋 Trade Log'!B499,"")</f>
        <v/>
      </c>
      <c r="C501" s="12" t="str">
        <f aca="false">IF('📋 Trade Log'!L499&lt;&gt;"",'📋 Trade Log'!L499,"")</f>
        <v/>
      </c>
      <c r="D501" s="12" t="str">
        <f aca="false">IF(A501&lt;&gt;"",SUM($C$6:C501),"")</f>
        <v/>
      </c>
      <c r="E501" s="12" t="str">
        <f aca="false">IF(A501&lt;&gt;"",B$3+D501,"")</f>
        <v/>
      </c>
      <c r="F501" s="12" t="str">
        <f aca="false">IF(A501&lt;&gt;"",MIN(0,E501-MAX($E$6:E501)),"")</f>
        <v/>
      </c>
      <c r="G501" s="36" t="str">
        <f aca="false">IF(A501&lt;&gt;"",IFERROR(F501/MAX($E$6:E501),0),"")</f>
        <v/>
      </c>
    </row>
    <row r="502" customFormat="false" ht="15" hidden="false" customHeight="false" outlineLevel="0" collapsed="false">
      <c r="A502" s="4" t="str">
        <f aca="false">IF('📋 Trade Log'!B500&lt;&gt;"",'📋 Trade Log'!A500,"")</f>
        <v/>
      </c>
      <c r="B502" s="5" t="str">
        <f aca="false">IF('📋 Trade Log'!B500&lt;&gt;"",'📋 Trade Log'!B500,"")</f>
        <v/>
      </c>
      <c r="C502" s="7" t="str">
        <f aca="false">IF('📋 Trade Log'!L500&lt;&gt;"",'📋 Trade Log'!L500,"")</f>
        <v/>
      </c>
      <c r="D502" s="7" t="str">
        <f aca="false">IF(A502&lt;&gt;"",SUM($C$6:C502),"")</f>
        <v/>
      </c>
      <c r="E502" s="7" t="str">
        <f aca="false">IF(A502&lt;&gt;"",B$3+D502,"")</f>
        <v/>
      </c>
      <c r="F502" s="7" t="str">
        <f aca="false">IF(A502&lt;&gt;"",MIN(0,E502-MAX($E$6:E502)),"")</f>
        <v/>
      </c>
      <c r="G502" s="35" t="str">
        <f aca="false">IF(A502&lt;&gt;"",IFERROR(F502/MAX($E$6:E502),0),"")</f>
        <v/>
      </c>
    </row>
    <row r="503" customFormat="false" ht="15" hidden="false" customHeight="false" outlineLevel="0" collapsed="false">
      <c r="A503" s="9" t="str">
        <f aca="false">IF('📋 Trade Log'!B501&lt;&gt;"",'📋 Trade Log'!A501,"")</f>
        <v/>
      </c>
      <c r="B503" s="10" t="str">
        <f aca="false">IF('📋 Trade Log'!B501&lt;&gt;"",'📋 Trade Log'!B501,"")</f>
        <v/>
      </c>
      <c r="C503" s="12" t="str">
        <f aca="false">IF('📋 Trade Log'!L501&lt;&gt;"",'📋 Trade Log'!L501,"")</f>
        <v/>
      </c>
      <c r="D503" s="12" t="str">
        <f aca="false">IF(A503&lt;&gt;"",SUM($C$6:C503),"")</f>
        <v/>
      </c>
      <c r="E503" s="12" t="str">
        <f aca="false">IF(A503&lt;&gt;"",B$3+D503,"")</f>
        <v/>
      </c>
      <c r="F503" s="12" t="str">
        <f aca="false">IF(A503&lt;&gt;"",MIN(0,E503-MAX($E$6:E503)),"")</f>
        <v/>
      </c>
      <c r="G503" s="36" t="str">
        <f aca="false">IF(A503&lt;&gt;"",IFERROR(F503/MAX($E$6:E503),0),"")</f>
        <v/>
      </c>
    </row>
    <row r="504" customFormat="false" ht="15" hidden="false" customHeight="false" outlineLevel="0" collapsed="false">
      <c r="A504" s="4" t="str">
        <f aca="false">IF('📋 Trade Log'!B502&lt;&gt;"",'📋 Trade Log'!A502,"")</f>
        <v/>
      </c>
      <c r="B504" s="5" t="str">
        <f aca="false">IF('📋 Trade Log'!B502&lt;&gt;"",'📋 Trade Log'!B502,"")</f>
        <v/>
      </c>
      <c r="C504" s="7" t="str">
        <f aca="false">IF('📋 Trade Log'!L502&lt;&gt;"",'📋 Trade Log'!L502,"")</f>
        <v/>
      </c>
      <c r="D504" s="7" t="str">
        <f aca="false">IF(A504&lt;&gt;"",SUM($C$6:C504),"")</f>
        <v/>
      </c>
      <c r="E504" s="7" t="str">
        <f aca="false">IF(A504&lt;&gt;"",B$3+D504,"")</f>
        <v/>
      </c>
      <c r="F504" s="7" t="str">
        <f aca="false">IF(A504&lt;&gt;"",MIN(0,E504-MAX($E$6:E504)),"")</f>
        <v/>
      </c>
      <c r="G504" s="35" t="str">
        <f aca="false">IF(A504&lt;&gt;"",IFERROR(F504/MAX($E$6:E504),0),"")</f>
        <v/>
      </c>
    </row>
    <row r="505" customFormat="false" ht="15" hidden="false" customHeight="false" outlineLevel="0" collapsed="false">
      <c r="A505" s="9" t="str">
        <f aca="false">IF('📋 Trade Log'!B503&lt;&gt;"",'📋 Trade Log'!A503,"")</f>
        <v/>
      </c>
      <c r="B505" s="10" t="str">
        <f aca="false">IF('📋 Trade Log'!B503&lt;&gt;"",'📋 Trade Log'!B503,"")</f>
        <v/>
      </c>
      <c r="C505" s="12" t="str">
        <f aca="false">IF('📋 Trade Log'!L503&lt;&gt;"",'📋 Trade Log'!L503,"")</f>
        <v/>
      </c>
      <c r="D505" s="12" t="str">
        <f aca="false">IF(A505&lt;&gt;"",SUM($C$6:C505),"")</f>
        <v/>
      </c>
      <c r="E505" s="12" t="str">
        <f aca="false">IF(A505&lt;&gt;"",B$3+D505,"")</f>
        <v/>
      </c>
      <c r="F505" s="12" t="str">
        <f aca="false">IF(A505&lt;&gt;"",MIN(0,E505-MAX($E$6:E505)),"")</f>
        <v/>
      </c>
      <c r="G505" s="36" t="str">
        <f aca="false">IF(A505&lt;&gt;"",IFERROR(F505/MAX($E$6:E505),0),"")</f>
        <v/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  <col collapsed="false" customWidth="true" hidden="false" outlineLevel="0" max="4" min="3" style="0" width="10"/>
  </cols>
  <sheetData>
    <row r="1" customFormat="false" ht="36" hidden="false" customHeight="true" outlineLevel="0" collapsed="false">
      <c r="A1" s="14" t="s">
        <v>82</v>
      </c>
      <c r="B1" s="14"/>
      <c r="C1" s="14"/>
      <c r="D1" s="14"/>
    </row>
    <row r="3" customFormat="false" ht="15" hidden="false" customHeight="false" outlineLevel="0" collapsed="false">
      <c r="A3" s="37" t="s">
        <v>83</v>
      </c>
      <c r="B3" s="37"/>
      <c r="C3" s="37"/>
      <c r="D3" s="37"/>
    </row>
    <row r="4" customFormat="false" ht="15" hidden="false" customHeight="false" outlineLevel="0" collapsed="false">
      <c r="A4" s="38" t="s">
        <v>84</v>
      </c>
      <c r="B4" s="39" t="s">
        <v>85</v>
      </c>
      <c r="C4" s="39"/>
      <c r="D4" s="39"/>
    </row>
    <row r="5" customFormat="false" ht="15" hidden="false" customHeight="false" outlineLevel="0" collapsed="false">
      <c r="A5" s="38" t="s">
        <v>86</v>
      </c>
      <c r="B5" s="39" t="s">
        <v>87</v>
      </c>
      <c r="C5" s="39"/>
      <c r="D5" s="39"/>
    </row>
    <row r="6" customFormat="false" ht="15" hidden="false" customHeight="false" outlineLevel="0" collapsed="false">
      <c r="A6" s="38" t="s">
        <v>88</v>
      </c>
      <c r="B6" s="39" t="s">
        <v>89</v>
      </c>
      <c r="C6" s="39"/>
      <c r="D6" s="39"/>
    </row>
    <row r="7" customFormat="false" ht="15" hidden="false" customHeight="false" outlineLevel="0" collapsed="false">
      <c r="A7" s="38" t="s">
        <v>90</v>
      </c>
      <c r="B7" s="39" t="s">
        <v>91</v>
      </c>
      <c r="C7" s="39"/>
      <c r="D7" s="39"/>
    </row>
    <row r="8" customFormat="false" ht="15" hidden="false" customHeight="false" outlineLevel="0" collapsed="false">
      <c r="A8" s="38" t="s">
        <v>92</v>
      </c>
      <c r="B8" s="39" t="s">
        <v>93</v>
      </c>
      <c r="C8" s="39"/>
      <c r="D8" s="39"/>
    </row>
    <row r="9" customFormat="false" ht="15" hidden="false" customHeight="false" outlineLevel="0" collapsed="false">
      <c r="A9" s="38" t="s">
        <v>94</v>
      </c>
      <c r="B9" s="39" t="s">
        <v>95</v>
      </c>
      <c r="C9" s="39"/>
      <c r="D9" s="39"/>
    </row>
    <row r="10" customFormat="false" ht="15" hidden="false" customHeight="false" outlineLevel="0" collapsed="false">
      <c r="A10" s="38" t="s">
        <v>96</v>
      </c>
      <c r="B10" s="39" t="s">
        <v>97</v>
      </c>
      <c r="C10" s="39"/>
      <c r="D10" s="39"/>
    </row>
    <row r="11" customFormat="false" ht="15" hidden="false" customHeight="false" outlineLevel="0" collapsed="false">
      <c r="A11" s="38" t="s">
        <v>98</v>
      </c>
      <c r="B11" s="39" t="s">
        <v>99</v>
      </c>
      <c r="C11" s="39"/>
      <c r="D11" s="39"/>
    </row>
    <row r="12" customFormat="false" ht="15" hidden="false" customHeight="false" outlineLevel="0" collapsed="false">
      <c r="A12" s="38" t="s">
        <v>100</v>
      </c>
      <c r="B12" s="39" t="s">
        <v>101</v>
      </c>
      <c r="C12" s="39"/>
      <c r="D12" s="39"/>
    </row>
    <row r="14" customFormat="false" ht="15" hidden="false" customHeight="false" outlineLevel="0" collapsed="false">
      <c r="A14" s="37" t="s">
        <v>102</v>
      </c>
      <c r="B14" s="37"/>
      <c r="C14" s="37"/>
      <c r="D14" s="37"/>
    </row>
    <row r="15" customFormat="false" ht="15" hidden="false" customHeight="false" outlineLevel="0" collapsed="false">
      <c r="A15" s="38" t="s">
        <v>103</v>
      </c>
      <c r="B15" s="39" t="s">
        <v>104</v>
      </c>
      <c r="C15" s="39"/>
      <c r="D15" s="39"/>
    </row>
    <row r="16" customFormat="false" ht="15" hidden="false" customHeight="false" outlineLevel="0" collapsed="false">
      <c r="A16" s="38" t="s">
        <v>105</v>
      </c>
      <c r="B16" s="39" t="s">
        <v>106</v>
      </c>
      <c r="C16" s="39"/>
      <c r="D16" s="39"/>
    </row>
    <row r="17" customFormat="false" ht="15" hidden="false" customHeight="false" outlineLevel="0" collapsed="false">
      <c r="A17" s="38" t="s">
        <v>107</v>
      </c>
      <c r="B17" s="39" t="s">
        <v>108</v>
      </c>
      <c r="C17" s="39"/>
      <c r="D17" s="39"/>
    </row>
    <row r="18" customFormat="false" ht="15" hidden="false" customHeight="false" outlineLevel="0" collapsed="false">
      <c r="A18" s="38" t="s">
        <v>109</v>
      </c>
      <c r="B18" s="39" t="s">
        <v>110</v>
      </c>
      <c r="C18" s="39"/>
      <c r="D18" s="39"/>
    </row>
    <row r="19" customFormat="false" ht="15" hidden="false" customHeight="false" outlineLevel="0" collapsed="false">
      <c r="A19" s="38" t="s">
        <v>111</v>
      </c>
      <c r="B19" s="39" t="s">
        <v>112</v>
      </c>
      <c r="C19" s="39"/>
      <c r="D19" s="39"/>
    </row>
    <row r="20" customFormat="false" ht="15" hidden="false" customHeight="false" outlineLevel="0" collapsed="false">
      <c r="A20" s="38" t="s">
        <v>113</v>
      </c>
      <c r="B20" s="39" t="s">
        <v>114</v>
      </c>
      <c r="C20" s="39"/>
      <c r="D20" s="39"/>
    </row>
    <row r="22" customFormat="false" ht="15" hidden="false" customHeight="false" outlineLevel="0" collapsed="false">
      <c r="A22" s="37" t="s">
        <v>115</v>
      </c>
      <c r="B22" s="37"/>
      <c r="C22" s="37"/>
      <c r="D22" s="37"/>
    </row>
    <row r="23" customFormat="false" ht="15" hidden="false" customHeight="false" outlineLevel="0" collapsed="false">
      <c r="A23" s="38" t="s">
        <v>116</v>
      </c>
      <c r="B23" s="39" t="s">
        <v>117</v>
      </c>
      <c r="C23" s="39"/>
      <c r="D23" s="39"/>
    </row>
    <row r="24" customFormat="false" ht="15" hidden="false" customHeight="false" outlineLevel="0" collapsed="false">
      <c r="A24" s="38" t="s">
        <v>118</v>
      </c>
      <c r="B24" s="39" t="s">
        <v>119</v>
      </c>
      <c r="C24" s="39"/>
      <c r="D24" s="39"/>
    </row>
    <row r="25" customFormat="false" ht="15" hidden="false" customHeight="false" outlineLevel="0" collapsed="false">
      <c r="A25" s="38" t="s">
        <v>120</v>
      </c>
      <c r="B25" s="39" t="s">
        <v>121</v>
      </c>
      <c r="C25" s="39"/>
      <c r="D25" s="39"/>
    </row>
    <row r="26" customFormat="false" ht="15" hidden="false" customHeight="false" outlineLevel="0" collapsed="false">
      <c r="A26" s="38" t="s">
        <v>122</v>
      </c>
      <c r="B26" s="39" t="s">
        <v>123</v>
      </c>
      <c r="C26" s="39"/>
      <c r="D26" s="39"/>
    </row>
  </sheetData>
  <mergeCells count="23">
    <mergeCell ref="A1:D1"/>
    <mergeCell ref="A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A14:D14"/>
    <mergeCell ref="B15:D15"/>
    <mergeCell ref="B16:D16"/>
    <mergeCell ref="B17:D17"/>
    <mergeCell ref="B18:D18"/>
    <mergeCell ref="B19:D19"/>
    <mergeCell ref="B20:D20"/>
    <mergeCell ref="A22:D22"/>
    <mergeCell ref="B23:D23"/>
    <mergeCell ref="B24:D24"/>
    <mergeCell ref="B25:D25"/>
    <mergeCell ref="B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2026-05-20T05:54:35Z</dcterms:created>
  <dc:creator>openpyxl</dc:creator>
  <dc:description/>
  <dc:language>en-US</dc:language>
  <cp:lastModifiedBy/>
  <dcterms:modified xsi:type="dcterms:W3CDTF">2026-05-20T05:54:37Z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